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20730" windowHeight="9735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P74" i="2" l="1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U52" i="2"/>
  <c r="G49" i="2"/>
  <c r="F49" i="2"/>
  <c r="E49" i="2"/>
  <c r="D49" i="2"/>
  <c r="C49" i="2"/>
  <c r="G48" i="2"/>
  <c r="F48" i="2"/>
  <c r="E48" i="2"/>
  <c r="D48" i="2"/>
  <c r="C48" i="2"/>
  <c r="G47" i="2"/>
  <c r="F47" i="2"/>
  <c r="E47" i="2"/>
  <c r="D47" i="2"/>
  <c r="C47" i="2"/>
  <c r="G46" i="2"/>
  <c r="F46" i="2"/>
  <c r="E46" i="2"/>
  <c r="D46" i="2"/>
  <c r="C46" i="2"/>
  <c r="G45" i="2"/>
  <c r="F45" i="2"/>
  <c r="E45" i="2"/>
  <c r="D45" i="2"/>
  <c r="C45" i="2"/>
  <c r="G44" i="2"/>
  <c r="F44" i="2"/>
  <c r="E44" i="2"/>
  <c r="D44" i="2"/>
  <c r="C44" i="2"/>
  <c r="G43" i="2"/>
  <c r="S38" i="2"/>
  <c r="R38" i="2"/>
  <c r="Q38" i="2"/>
  <c r="P38" i="2"/>
  <c r="O38" i="2"/>
  <c r="AA37" i="2"/>
  <c r="W37" i="2"/>
  <c r="N37" i="2"/>
  <c r="M37" i="2"/>
  <c r="N36" i="2"/>
  <c r="M36" i="2"/>
  <c r="AA36" i="2" s="1"/>
  <c r="AA35" i="2"/>
  <c r="Y35" i="2"/>
  <c r="W35" i="2"/>
  <c r="U35" i="2"/>
  <c r="N35" i="2"/>
  <c r="M35" i="2"/>
  <c r="N34" i="2"/>
  <c r="M34" i="2"/>
  <c r="AA34" i="2" s="1"/>
  <c r="AA33" i="2"/>
  <c r="Y33" i="2"/>
  <c r="W33" i="2"/>
  <c r="U33" i="2"/>
  <c r="N33" i="2"/>
  <c r="M33" i="2"/>
  <c r="N32" i="2"/>
  <c r="M32" i="2"/>
  <c r="R39" i="2" s="1"/>
  <c r="F50" i="2" s="1"/>
  <c r="X23" i="2"/>
  <c r="W23" i="2"/>
  <c r="V23" i="2"/>
  <c r="U23" i="2"/>
  <c r="T23" i="2"/>
  <c r="X22" i="2"/>
  <c r="W22" i="2"/>
  <c r="V22" i="2"/>
  <c r="U22" i="2"/>
  <c r="T22" i="2"/>
  <c r="C22" i="2"/>
  <c r="X21" i="2"/>
  <c r="W21" i="2"/>
  <c r="V21" i="2"/>
  <c r="U21" i="2"/>
  <c r="T21" i="2"/>
  <c r="X20" i="2"/>
  <c r="W20" i="2"/>
  <c r="V20" i="2"/>
  <c r="U20" i="2"/>
  <c r="T20" i="2"/>
  <c r="X19" i="2"/>
  <c r="W19" i="2"/>
  <c r="V19" i="2"/>
  <c r="U19" i="2"/>
  <c r="T19" i="2"/>
  <c r="X18" i="2"/>
  <c r="W18" i="2"/>
  <c r="V18" i="2"/>
  <c r="U18" i="2"/>
  <c r="T18" i="2"/>
  <c r="T13" i="2"/>
  <c r="S13" i="2"/>
  <c r="R13" i="2"/>
  <c r="Q13" i="2"/>
  <c r="P13" i="2"/>
  <c r="S45" i="2" s="1"/>
  <c r="N13" i="2"/>
  <c r="T12" i="2"/>
  <c r="S12" i="2"/>
  <c r="R12" i="2"/>
  <c r="Q12" i="2"/>
  <c r="C12" i="2"/>
  <c r="T11" i="2"/>
  <c r="S11" i="2"/>
  <c r="R11" i="2"/>
  <c r="Q11" i="2"/>
  <c r="T10" i="2"/>
  <c r="S10" i="2"/>
  <c r="R10" i="2"/>
  <c r="Q10" i="2"/>
  <c r="T9" i="2"/>
  <c r="S9" i="2"/>
  <c r="R9" i="2"/>
  <c r="Q9" i="2"/>
  <c r="O49" i="2" l="1"/>
  <c r="O47" i="2"/>
  <c r="O51" i="2"/>
  <c r="O50" i="2"/>
  <c r="O48" i="2"/>
  <c r="O46" i="2"/>
  <c r="P51" i="2"/>
  <c r="P50" i="2"/>
  <c r="P48" i="2"/>
  <c r="P46" i="2"/>
  <c r="P49" i="2"/>
  <c r="P47" i="2"/>
  <c r="Q49" i="2"/>
  <c r="Q47" i="2"/>
  <c r="Q51" i="2"/>
  <c r="Q50" i="2"/>
  <c r="Q48" i="2"/>
  <c r="Q46" i="2"/>
  <c r="S17" i="2"/>
  <c r="Y31" i="2"/>
  <c r="AA31" i="2"/>
  <c r="U32" i="2"/>
  <c r="W32" i="2"/>
  <c r="Y32" i="2"/>
  <c r="AA32" i="2"/>
  <c r="AA38" i="2" s="1"/>
  <c r="T33" i="2"/>
  <c r="V33" i="2"/>
  <c r="X33" i="2"/>
  <c r="AD33" i="2" s="1"/>
  <c r="Q65" i="2" s="1"/>
  <c r="R65" i="2" s="1"/>
  <c r="S65" i="2" s="1"/>
  <c r="Z33" i="2"/>
  <c r="AC33" i="2" s="1"/>
  <c r="Q64" i="2" s="1"/>
  <c r="R64" i="2" s="1"/>
  <c r="S64" i="2" s="1"/>
  <c r="U34" i="2"/>
  <c r="W34" i="2"/>
  <c r="Y34" i="2"/>
  <c r="T35" i="2"/>
  <c r="V35" i="2"/>
  <c r="X35" i="2"/>
  <c r="AD35" i="2" s="1"/>
  <c r="Z35" i="2"/>
  <c r="AC35" i="2" s="1"/>
  <c r="U36" i="2"/>
  <c r="W36" i="2"/>
  <c r="Y36" i="2"/>
  <c r="Z37" i="2"/>
  <c r="X37" i="2"/>
  <c r="V37" i="2"/>
  <c r="T37" i="2"/>
  <c r="U37" i="2"/>
  <c r="AC37" i="2" s="1"/>
  <c r="Y37" i="2"/>
  <c r="R51" i="2"/>
  <c r="R50" i="2"/>
  <c r="R48" i="2"/>
  <c r="R46" i="2"/>
  <c r="R49" i="2"/>
  <c r="R47" i="2"/>
  <c r="S49" i="2"/>
  <c r="S47" i="2"/>
  <c r="S51" i="2"/>
  <c r="S50" i="2"/>
  <c r="S48" i="2"/>
  <c r="S46" i="2"/>
  <c r="X17" i="2"/>
  <c r="S31" i="2"/>
  <c r="Z31" i="2"/>
  <c r="S39" i="2"/>
  <c r="G50" i="2" s="1"/>
  <c r="Q39" i="2"/>
  <c r="E50" i="2" s="1"/>
  <c r="O39" i="2"/>
  <c r="C50" i="2" s="1"/>
  <c r="T32" i="2"/>
  <c r="V32" i="2"/>
  <c r="X32" i="2"/>
  <c r="Z32" i="2"/>
  <c r="T34" i="2"/>
  <c r="V34" i="2"/>
  <c r="X34" i="2"/>
  <c r="AD34" i="2" s="1"/>
  <c r="Z34" i="2"/>
  <c r="T36" i="2"/>
  <c r="V36" i="2"/>
  <c r="X36" i="2"/>
  <c r="AD36" i="2" s="1"/>
  <c r="Z36" i="2"/>
  <c r="M38" i="2"/>
  <c r="P39" i="2"/>
  <c r="D50" i="2" s="1"/>
  <c r="T48" i="2" l="1"/>
  <c r="U66" i="2" s="1"/>
  <c r="T46" i="2"/>
  <c r="T50" i="2"/>
  <c r="U71" i="2" s="1"/>
  <c r="AB36" i="2"/>
  <c r="T47" i="2"/>
  <c r="U63" i="2" s="1"/>
  <c r="AB34" i="2"/>
  <c r="Q66" i="2" s="1"/>
  <c r="R66" i="2" s="1"/>
  <c r="T49" i="2"/>
  <c r="U69" i="2" s="1"/>
  <c r="T51" i="2"/>
  <c r="U73" i="2" s="1"/>
  <c r="AD37" i="2"/>
  <c r="W67" i="2"/>
  <c r="X38" i="2"/>
  <c r="AD32" i="2"/>
  <c r="T38" i="2"/>
  <c r="AB32" i="2"/>
  <c r="U60" i="2"/>
  <c r="X74" i="2"/>
  <c r="Q73" i="2"/>
  <c r="R73" i="2" s="1"/>
  <c r="AC34" i="2"/>
  <c r="AB33" i="2"/>
  <c r="Q63" i="2" s="1"/>
  <c r="R63" i="2" s="1"/>
  <c r="Y38" i="2"/>
  <c r="U38" i="2"/>
  <c r="AC32" i="2"/>
  <c r="Q52" i="2"/>
  <c r="P52" i="2"/>
  <c r="O52" i="2"/>
  <c r="Z38" i="2"/>
  <c r="V38" i="2"/>
  <c r="S52" i="2"/>
  <c r="R52" i="2"/>
  <c r="AB37" i="2"/>
  <c r="AC36" i="2"/>
  <c r="AB35" i="2"/>
  <c r="W38" i="2"/>
  <c r="Q74" i="2" l="1"/>
  <c r="R74" i="2" s="1"/>
  <c r="S74" i="2" s="1"/>
  <c r="T52" i="2"/>
  <c r="U86" i="2"/>
  <c r="X72" i="2"/>
  <c r="Q72" i="2" s="1"/>
  <c r="R72" i="2" s="1"/>
  <c r="S72" i="2" s="1"/>
  <c r="Q71" i="2"/>
  <c r="R71" i="2" s="1"/>
  <c r="X62" i="2"/>
  <c r="Q62" i="2" s="1"/>
  <c r="R62" i="2" s="1"/>
  <c r="S62" i="2" s="1"/>
  <c r="AC38" i="2"/>
  <c r="X68" i="2"/>
  <c r="Q68" i="2" s="1"/>
  <c r="R68" i="2" s="1"/>
  <c r="S68" i="2" s="1"/>
  <c r="Q67" i="2"/>
  <c r="R67" i="2" s="1"/>
  <c r="S67" i="2" s="1"/>
  <c r="S73" i="2"/>
  <c r="W61" i="2"/>
  <c r="Q61" i="2" s="1"/>
  <c r="R61" i="2" s="1"/>
  <c r="S61" i="2" s="1"/>
  <c r="Q60" i="2"/>
  <c r="R60" i="2" s="1"/>
  <c r="AB38" i="2"/>
  <c r="AD38" i="2"/>
  <c r="S66" i="2"/>
  <c r="W70" i="2"/>
  <c r="Q70" i="2" s="1"/>
  <c r="R70" i="2" s="1"/>
  <c r="S70" i="2" s="1"/>
  <c r="Q69" i="2"/>
  <c r="R69" i="2" s="1"/>
  <c r="Y63" i="2"/>
  <c r="C55" i="2" s="1"/>
  <c r="S63" i="2"/>
  <c r="T63" i="2" s="1"/>
  <c r="V63" i="2" s="1"/>
  <c r="Z63" i="2" s="1"/>
  <c r="D55" i="2" s="1"/>
  <c r="T73" i="2" l="1"/>
  <c r="V73" i="2" s="1"/>
  <c r="Z73" i="2" s="1"/>
  <c r="D59" i="2" s="1"/>
  <c r="Y73" i="2"/>
  <c r="C59" i="2" s="1"/>
  <c r="Y66" i="2"/>
  <c r="C56" i="2" s="1"/>
  <c r="Y60" i="2"/>
  <c r="C54" i="2" s="1"/>
  <c r="S60" i="2"/>
  <c r="T60" i="2" s="1"/>
  <c r="Y69" i="2"/>
  <c r="C57" i="2" s="1"/>
  <c r="S69" i="2"/>
  <c r="T69" i="2" s="1"/>
  <c r="V69" i="2" s="1"/>
  <c r="Z69" i="2" s="1"/>
  <c r="D57" i="2" s="1"/>
  <c r="T66" i="2"/>
  <c r="V66" i="2" s="1"/>
  <c r="Z66" i="2" s="1"/>
  <c r="D56" i="2" s="1"/>
  <c r="Y71" i="2"/>
  <c r="C58" i="2" s="1"/>
  <c r="S71" i="2"/>
  <c r="T71" i="2" s="1"/>
  <c r="V71" i="2" s="1"/>
  <c r="Z71" i="2" s="1"/>
  <c r="D58" i="2" s="1"/>
  <c r="T86" i="2" l="1"/>
  <c r="V60" i="2"/>
  <c r="V86" i="2" l="1"/>
  <c r="C62" i="2" s="1"/>
  <c r="Z60" i="2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<sst xmlns="http://schemas.openxmlformats.org/spreadsheetml/2006/main" count="188" uniqueCount="137">
  <si>
    <t>Fertilizer</t>
  </si>
  <si>
    <t>Abbreviation</t>
  </si>
  <si>
    <t>Nitrogen</t>
  </si>
  <si>
    <t>Phosphorous</t>
  </si>
  <si>
    <t>Potassium</t>
  </si>
  <si>
    <t>Price/kg</t>
  </si>
  <si>
    <t>Urea</t>
  </si>
  <si>
    <t>Producer Name:</t>
  </si>
  <si>
    <t>xxx</t>
  </si>
  <si>
    <t>Triple Super Phosphate</t>
  </si>
  <si>
    <t>TSP</t>
  </si>
  <si>
    <t>Prepared By:</t>
  </si>
  <si>
    <t>Diammonium Phosphate</t>
  </si>
  <si>
    <t>DAP</t>
  </si>
  <si>
    <t>Date Prepared:</t>
  </si>
  <si>
    <t>Murate of Potash</t>
  </si>
  <si>
    <t>KCl</t>
  </si>
  <si>
    <t>Crop Selection and Prices</t>
  </si>
  <si>
    <t>Crop</t>
  </si>
  <si>
    <t>Area Planted 
(acres)</t>
  </si>
  <si>
    <t>Expected 
Grain Value/kg †</t>
  </si>
  <si>
    <t>Maize</t>
  </si>
  <si>
    <t xml:space="preserve">Fertilizer Constraints </t>
  </si>
  <si>
    <t>Fertilizer Total Maxes</t>
  </si>
  <si>
    <t>Banana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</si>
  <si>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</si>
  <si>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</si>
  <si>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</si>
  <si>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</si>
  <si>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</si>
  <si>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</si>
  <si>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</si>
  <si>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</si>
  <si>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>N Sum</t>
  </si>
  <si>
    <t>P Sum</t>
  </si>
  <si>
    <t>K Sum</t>
  </si>
  <si>
    <t>Upland Rice</t>
  </si>
  <si>
    <t>Beans</t>
  </si>
  <si>
    <t>Soybeans</t>
  </si>
  <si>
    <t>Upland rice</t>
  </si>
  <si>
    <t>Groundnuts-unshelled</t>
  </si>
  <si>
    <t>Total acres</t>
  </si>
  <si>
    <t>Groundnuts, unshelled</t>
  </si>
  <si>
    <t>Fertilizer Selection and Prices</t>
  </si>
  <si>
    <t>Fertilizer Product</t>
  </si>
  <si>
    <t>N</t>
  </si>
  <si>
    <t>P2O5</t>
  </si>
  <si>
    <t>K2O</t>
  </si>
  <si>
    <t>Price/50 kg bag ¶*</t>
  </si>
  <si>
    <t>Triple super phosphate, TSP</t>
  </si>
  <si>
    <t>Diammonium phosphate, DAP</t>
  </si>
  <si>
    <t>Murate of potash, KCL</t>
  </si>
  <si>
    <t>NPK</t>
  </si>
  <si>
    <t>Area Planted and Price</t>
  </si>
  <si>
    <t>Fertilizer Amount</t>
  </si>
  <si>
    <t>Fertilizer Units Applied/Ha</t>
  </si>
  <si>
    <t>Fertilizer Totals</t>
  </si>
  <si>
    <t>Ha Planted</t>
  </si>
  <si>
    <t>Value/kg</t>
  </si>
  <si>
    <t xml:space="preserve">Urea kg </t>
  </si>
  <si>
    <t xml:space="preserve">TSP kg </t>
  </si>
  <si>
    <t xml:space="preserve">DAP kg </t>
  </si>
  <si>
    <t xml:space="preserve">KCl kg </t>
  </si>
  <si>
    <t>Urea kg (N)</t>
  </si>
  <si>
    <t>TSP kg (P)</t>
  </si>
  <si>
    <t>DAP kg (N)</t>
  </si>
  <si>
    <t>DAP kg (P)</t>
  </si>
  <si>
    <t>KCl kg (K)</t>
  </si>
  <si>
    <t>Budget Constraint</t>
  </si>
  <si>
    <t>Amount available to invest in fertilizer</t>
  </si>
  <si>
    <t>Sum</t>
  </si>
  <si>
    <t>Total fertilizer needed</t>
  </si>
  <si>
    <t>Fertilizer Optimization</t>
  </si>
  <si>
    <t>Application Rate - kg/Ac</t>
  </si>
  <si>
    <t>KCL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</si>
  <si>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</si>
  <si>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</si>
  <si>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</si>
  <si>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</si>
  <si>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</si>
  <si>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Fertilizer Cost/Crop</t>
  </si>
  <si>
    <t>Fertilizer Application Rates</t>
  </si>
  <si>
    <t>N Amt Req P</t>
  </si>
  <si>
    <t>P Amt Req K</t>
  </si>
  <si>
    <t>Expected Average Effects per Ac</t>
  </si>
  <si>
    <t>Yield Increases</t>
  </si>
  <si>
    <t>Net Returns</t>
  </si>
  <si>
    <t>Crop and Yield Responses</t>
  </si>
  <si>
    <t>Returns and Expenses</t>
  </si>
  <si>
    <t>Fertilizer Requirements</t>
  </si>
  <si>
    <t>Output Variable - kg/Ha</t>
  </si>
  <si>
    <t>Functions</t>
  </si>
  <si>
    <t>Coefficient 1</t>
  </si>
  <si>
    <t>Coefficient 2</t>
  </si>
  <si>
    <t>Coefficient 3</t>
  </si>
  <si>
    <t>Base Production</t>
  </si>
  <si>
    <t xml:space="preserve">Expected  Change </t>
  </si>
  <si>
    <t>Expected Yield Kg</t>
  </si>
  <si>
    <t>Individual Net Value</t>
  </si>
  <si>
    <t>Net Value per Fertilizer</t>
  </si>
  <si>
    <t>Fert Costs</t>
  </si>
  <si>
    <t>Net Return</t>
  </si>
  <si>
    <t>Maize N</t>
  </si>
  <si>
    <t>Total Expected Net Returns to Fertilizer</t>
  </si>
  <si>
    <t>Maize P</t>
  </si>
  <si>
    <t>Total net returns to investment in fertilizer</t>
  </si>
  <si>
    <t>Maize K</t>
  </si>
  <si>
    <t>Banana N</t>
  </si>
  <si>
    <t>Banana P</t>
  </si>
  <si>
    <t xml:space="preserve"> </t>
  </si>
  <si>
    <t>Banana K</t>
  </si>
  <si>
    <t>Upland rice N</t>
  </si>
  <si>
    <t>Upland rice P</t>
  </si>
  <si>
    <t>Upland rice K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</si>
  <si>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</si>
  <si>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 xml:space="preserve">Beans N </t>
  </si>
  <si>
    <t>Beans P</t>
  </si>
  <si>
    <t>For information, contact: Dr. Kayuki C. Kaizzi, NARL-NARO, kckaizzi@gmail.com or karidir@infocom.co.ug or landuse@infocom.co.ug</t>
  </si>
  <si>
    <t xml:space="preserve">Soybeans P </t>
  </si>
  <si>
    <t>Soybeans K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</si>
  <si>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</si>
  <si>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Groundnuts, unshelled P</t>
  </si>
  <si>
    <t>Groundnuts, unshelled K</t>
  </si>
  <si>
    <t>© 2013, The Board of Regents of the University of Nebraska. All rights reserved.</t>
  </si>
  <si>
    <t>Accumulated Sums</t>
  </si>
  <si>
    <t xml:space="preserve"> Net Value</t>
  </si>
  <si>
    <t xml:space="preserve"> Fertilizer Cost</t>
  </si>
  <si>
    <t xml:space="preserve"> Net Returns</t>
  </si>
  <si>
    <t>This excel workbook must have the macro features and Solver Add-Ins enabled  to function.</t>
  </si>
  <si>
    <t>Steps required to enable macro features: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</si>
  <si>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</si>
  <si>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</si>
  <si>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</si>
  <si>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Steps required to enable Solver Add-Inns:</t>
  </si>
  <si>
    <t>1) Click the Office 2007 round icon (or File in Office 2010) and select Excel Options.</t>
  </si>
  <si>
    <t>2) Select the Add-Ins Tab and select Go.</t>
  </si>
  <si>
    <t xml:space="preserve">3) When the Add-Ins window appears, selected the Solver Add-In checkbox and click ok.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</si>
</sst>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4" fontId="2" fillId="0" borderId="0"/>
    <xf numFmtId="0" fontId="2" fillId="0" borderId="0"/>
    <xf numFmtId="0" fontId="2" fillId="0" borderId="0"/>
    <xf numFmtId="9" fontId="1" fillId="0" borderId="0"/>
  </cellStyleXfs>
  <cellXfs count="294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2" fillId="0" borderId="6" xfId="3" applyNumberFormat="1" applyFont="1" applyFill="1" applyBorder="1"/>
    <xf numFmtId="0" fontId="2" fillId="0" borderId="7" xfId="3" applyNumberFormat="1" applyFont="1" applyFill="1" applyBorder="1"/>
    <xf numFmtId="0" fontId="4" fillId="4" borderId="10" xfId="3" applyNumberFormat="1" applyFont="1" applyFill="1" applyBorder="1" applyAlignment="1">
      <alignment horizontal="center" vertical="center" wrapText="1"/>
    </xf>
    <xf numFmtId="0" fontId="4" fillId="4" borderId="13" xfId="3" applyNumberFormat="1" applyFont="1" applyFill="1" applyBorder="1" applyAlignment="1">
      <alignment horizontal="center" vertical="center" wrapText="1"/>
    </xf>
    <xf numFmtId="0" fontId="5" fillId="4" borderId="6" xfId="3" applyNumberFormat="1" applyFont="1" applyFill="1" applyBorder="1" applyAlignment="1">
      <alignment horizontal="left"/>
    </xf>
    <xf numFmtId="1" fontId="5" fillId="5" borderId="2" xfId="3" applyNumberFormat="1" applyFont="1" applyFill="1" applyBorder="1" applyAlignment="1">
      <alignment horizontal="center"/>
    </xf>
    <xf numFmtId="3" fontId="5" fillId="5" borderId="2" xfId="3" applyNumberFormat="1" applyFont="1" applyFill="1" applyBorder="1" applyAlignment="1">
      <alignment horizontal="center"/>
    </xf>
    <xf numFmtId="0" fontId="5" fillId="4" borderId="8" xfId="3" applyNumberFormat="1" applyFont="1" applyFill="1" applyBorder="1" applyAlignment="1">
      <alignment wrapText="1"/>
    </xf>
    <xf numFmtId="0" fontId="5" fillId="5" borderId="8" xfId="3" applyNumberFormat="1" applyFont="1" applyFill="1" applyBorder="1" applyAlignment="1">
      <alignment wrapText="1"/>
    </xf>
    <xf numFmtId="0" fontId="3" fillId="6" borderId="0" xfId="3" applyNumberFormat="1" applyFont="1" applyFill="1" applyBorder="1"/>
    <xf numFmtId="0" fontId="6" fillId="6" borderId="0" xfId="0" applyNumberFormat="1" applyFont="1" applyFill="1" applyBorder="1"/>
    <xf numFmtId="0" fontId="5" fillId="6" borderId="0" xfId="3" applyNumberFormat="1" applyFont="1" applyFill="1" applyBorder="1"/>
    <xf numFmtId="0" fontId="5" fillId="6" borderId="0" xfId="3" applyNumberFormat="1" applyFont="1" applyFill="1" applyBorder="1" applyAlignment="1">
      <alignment horizontal="left" wrapText="1"/>
    </xf>
    <xf numFmtId="0" fontId="3" fillId="6" borderId="0" xfId="3" applyNumberFormat="1" applyFont="1" applyFill="1" applyBorder="1" applyAlignment="1">
      <alignment horizontal="center"/>
    </xf>
    <xf numFmtId="0" fontId="2" fillId="6" borderId="0" xfId="3" applyNumberFormat="1" applyFont="1" applyFill="1" applyBorder="1" applyAlignment="1">
      <alignment horizontal="center"/>
    </xf>
    <xf numFmtId="0" fontId="2" fillId="6" borderId="0" xfId="3" applyNumberFormat="1" applyFont="1" applyFill="1" applyBorder="1"/>
    <xf numFmtId="0" fontId="5" fillId="4" borderId="4" xfId="3" applyNumberFormat="1" applyFont="1" applyFill="1" applyBorder="1" applyAlignment="1">
      <alignment horizontal="left"/>
    </xf>
    <xf numFmtId="0" fontId="9" fillId="4" borderId="1" xfId="0" applyNumberFormat="1" applyFont="1" applyFill="1" applyBorder="1" applyAlignment="1">
      <alignment horizontal="center" vertical="center"/>
    </xf>
    <xf numFmtId="0" fontId="4" fillId="4" borderId="1" xfId="3" applyNumberFormat="1" applyFont="1" applyFill="1" applyBorder="1" applyAlignment="1">
      <alignment horizontal="center" vertical="center"/>
    </xf>
    <xf numFmtId="0" fontId="4" fillId="4" borderId="5" xfId="3" applyNumberFormat="1" applyFont="1" applyFill="1" applyBorder="1" applyAlignment="1">
      <alignment horizontal="center" vertical="center" wrapText="1"/>
    </xf>
    <xf numFmtId="0" fontId="2" fillId="0" borderId="6" xfId="3" applyNumberFormat="1" applyFont="1" applyFill="1" applyBorder="1" applyAlignment="1">
      <alignment horizontal="left" vertical="center"/>
    </xf>
    <xf numFmtId="0" fontId="2" fillId="0" borderId="4" xfId="3" applyNumberFormat="1" applyFont="1" applyFill="1" applyBorder="1"/>
    <xf numFmtId="0" fontId="2" fillId="0" borderId="5" xfId="3" applyNumberFormat="1" applyFont="1" applyFill="1" applyBorder="1"/>
    <xf numFmtId="0" fontId="2" fillId="0" borderId="7" xfId="3" applyNumberFormat="1" applyFont="1" applyFill="1" applyBorder="1" applyAlignment="1">
      <alignment horizontal="left" vertical="center"/>
    </xf>
    <xf numFmtId="0" fontId="5" fillId="6" borderId="0" xfId="3" applyNumberFormat="1" applyFont="1" applyFill="1" applyBorder="1"/>
    <xf numFmtId="0" fontId="4" fillId="5" borderId="8" xfId="3" applyNumberFormat="1" applyFont="1" applyFill="1" applyBorder="1" applyAlignment="1">
      <alignment horizontal="center"/>
    </xf>
    <xf numFmtId="0" fontId="8" fillId="6" borderId="0" xfId="3" applyNumberFormat="1" applyFont="1" applyFill="1" applyBorder="1" applyAlignment="1">
      <alignment horizontal="left" wrapText="1"/>
    </xf>
    <xf numFmtId="0" fontId="10" fillId="6" borderId="0" xfId="0" applyNumberFormat="1" applyFont="1" applyFill="1" applyBorder="1"/>
    <xf numFmtId="9" fontId="5" fillId="0" borderId="1" xfId="4" applyNumberFormat="1" applyFont="1" applyFill="1" applyBorder="1" applyAlignment="1" applyProtection="1">
      <alignment horizontal="center"/>
      <protection locked="0"/>
    </xf>
    <xf numFmtId="9" fontId="5" fillId="0" borderId="1" xfId="4" applyNumberFormat="1" applyFont="1" applyFill="1" applyBorder="1" applyAlignment="1" applyProtection="1">
      <alignment horizontal="center"/>
      <protection locked="0"/>
    </xf>
    <xf numFmtId="9" fontId="5" fillId="0" borderId="2" xfId="4" applyNumberFormat="1" applyFont="1" applyFill="1" applyBorder="1" applyAlignment="1" applyProtection="1">
      <alignment horizontal="center"/>
      <protection locked="0"/>
    </xf>
    <xf numFmtId="9" fontId="5" fillId="0" borderId="2" xfId="4" applyNumberFormat="1" applyFont="1" applyFill="1" applyBorder="1" applyAlignment="1" applyProtection="1">
      <alignment horizontal="center"/>
      <protection locked="0"/>
    </xf>
    <xf numFmtId="0" fontId="5" fillId="0" borderId="8" xfId="3" applyNumberFormat="1" applyFont="1" applyFill="1" applyBorder="1" applyAlignment="1" applyProtection="1">
      <alignment horizontal="left"/>
      <protection locked="0"/>
    </xf>
    <xf numFmtId="0" fontId="5" fillId="0" borderId="2" xfId="3" applyNumberFormat="1" applyFont="1" applyFill="1" applyBorder="1" applyAlignment="1" applyProtection="1">
      <alignment horizontal="center"/>
      <protection locked="0"/>
    </xf>
    <xf numFmtId="0" fontId="5" fillId="0" borderId="3" xfId="3" applyNumberFormat="1" applyFont="1" applyFill="1" applyBorder="1" applyAlignment="1" applyProtection="1">
      <alignment horizontal="center"/>
      <protection locked="0"/>
    </xf>
    <xf numFmtId="0" fontId="5" fillId="6" borderId="0" xfId="3" applyNumberFormat="1" applyFont="1" applyFill="1" applyBorder="1" applyAlignment="1">
      <alignment horizontal="left" vertical="top" wrapText="1"/>
    </xf>
    <xf numFmtId="0" fontId="4" fillId="5" borderId="8" xfId="3" applyNumberFormat="1" applyFont="1" applyFill="1" applyBorder="1" applyAlignment="1">
      <alignment horizontal="left"/>
    </xf>
    <xf numFmtId="0" fontId="4" fillId="5" borderId="10" xfId="3" applyNumberFormat="1" applyFont="1" applyFill="1" applyBorder="1" applyAlignment="1">
      <alignment horizontal="center"/>
    </xf>
    <xf numFmtId="0" fontId="4" fillId="4" borderId="10" xfId="3" applyNumberFormat="1" applyFont="1" applyFill="1" applyBorder="1" applyAlignment="1">
      <alignment horizontal="left"/>
    </xf>
    <xf numFmtId="0" fontId="4" fillId="5" borderId="11" xfId="3" applyNumberFormat="1" applyFont="1" applyFill="1" applyBorder="1" applyAlignment="1">
      <alignment horizontal="left" vertical="center"/>
    </xf>
    <xf numFmtId="0" fontId="4" fillId="4" borderId="4" xfId="3" applyNumberFormat="1" applyFont="1" applyFill="1" applyBorder="1" applyAlignment="1">
      <alignment horizontal="left" vertical="center"/>
    </xf>
    <xf numFmtId="0" fontId="4" fillId="4" borderId="11" xfId="3" applyNumberFormat="1" applyFont="1" applyFill="1" applyBorder="1" applyAlignment="1">
      <alignment horizontal="left" vertical="center"/>
    </xf>
    <xf numFmtId="0" fontId="4" fillId="5" borderId="10" xfId="3" applyNumberFormat="1" applyFont="1" applyFill="1" applyBorder="1" applyAlignment="1">
      <alignment horizontal="center" vertical="center" wrapText="1"/>
    </xf>
    <xf numFmtId="0" fontId="4" fillId="5" borderId="13" xfId="3" applyNumberFormat="1" applyFont="1" applyFill="1" applyBorder="1" applyAlignment="1">
      <alignment horizontal="center" vertical="center" wrapText="1"/>
    </xf>
    <xf numFmtId="9" fontId="5" fillId="0" borderId="3" xfId="4" applyNumberFormat="1" applyFont="1" applyFill="1" applyBorder="1" applyAlignment="1" applyProtection="1">
      <alignment horizontal="center"/>
      <protection locked="0"/>
    </xf>
    <xf numFmtId="0" fontId="11" fillId="6" borderId="0" xfId="0" applyNumberFormat="1" applyFont="1" applyFill="1" applyBorder="1"/>
    <xf numFmtId="0" fontId="11" fillId="0" borderId="0" xfId="0" applyNumberFormat="1" applyFont="1" applyFill="1" applyBorder="1"/>
    <xf numFmtId="0" fontId="11" fillId="0" borderId="4" xfId="0" applyNumberFormat="1" applyFont="1" applyFill="1" applyBorder="1"/>
    <xf numFmtId="0" fontId="11" fillId="0" borderId="5" xfId="0" applyNumberFormat="1" applyFont="1" applyFill="1" applyBorder="1"/>
    <xf numFmtId="0" fontId="11" fillId="0" borderId="1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11" fillId="0" borderId="1" xfId="0" applyNumberFormat="1" applyFont="1" applyFill="1" applyBorder="1" applyAlignment="1">
      <alignment horizontal="center"/>
    </xf>
    <xf numFmtId="0" fontId="11" fillId="0" borderId="4" xfId="0" applyNumberFormat="1" applyFont="1" applyFill="1" applyBorder="1" applyAlignment="1">
      <alignment horizontal="center"/>
    </xf>
    <xf numFmtId="165" fontId="11" fillId="0" borderId="4" xfId="4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9" fillId="6" borderId="0" xfId="0" applyNumberFormat="1" applyFont="1" applyFill="1" applyBorder="1" applyAlignment="1">
      <alignment horizontal="right"/>
    </xf>
    <xf numFmtId="0" fontId="11" fillId="0" borderId="6" xfId="0" applyNumberFormat="1" applyFont="1" applyFill="1" applyBorder="1" applyAlignment="1">
      <alignment horizontal="center"/>
    </xf>
    <xf numFmtId="165" fontId="11" fillId="0" borderId="6" xfId="4" applyNumberFormat="1" applyFont="1" applyFill="1" applyBorder="1" applyAlignment="1">
      <alignment horizontal="center"/>
    </xf>
    <xf numFmtId="165" fontId="11" fillId="0" borderId="0" xfId="4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0" fontId="2" fillId="6" borderId="0" xfId="3" applyNumberFormat="1" applyFont="1" applyFill="1" applyBorder="1" applyAlignment="1">
      <alignment horizontal="center"/>
    </xf>
    <xf numFmtId="0" fontId="11" fillId="0" borderId="6" xfId="0" applyNumberFormat="1" applyFont="1" applyFill="1" applyBorder="1" applyAlignment="1">
      <alignment horizontal="center"/>
    </xf>
    <xf numFmtId="0" fontId="2" fillId="6" borderId="0" xfId="3" applyNumberFormat="1" applyFont="1" applyFill="1" applyBorder="1"/>
    <xf numFmtId="0" fontId="11" fillId="0" borderId="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/>
    <xf numFmtId="0" fontId="11" fillId="0" borderId="9" xfId="0" applyNumberFormat="1" applyFont="1" applyFill="1" applyBorder="1"/>
    <xf numFmtId="0" fontId="11" fillId="0" borderId="8" xfId="0" applyNumberFormat="1" applyFont="1" applyFill="1" applyBorder="1" applyAlignment="1">
      <alignment horizontal="center"/>
    </xf>
    <xf numFmtId="165" fontId="11" fillId="0" borderId="8" xfId="4" applyNumberFormat="1" applyFont="1" applyFill="1" applyBorder="1" applyAlignment="1">
      <alignment horizontal="center"/>
    </xf>
    <xf numFmtId="3" fontId="11" fillId="0" borderId="9" xfId="0" applyNumberFormat="1" applyFont="1" applyFill="1" applyBorder="1" applyAlignment="1">
      <alignment horizontal="center"/>
    </xf>
    <xf numFmtId="0" fontId="11" fillId="0" borderId="0" xfId="0" applyNumberFormat="1" applyFont="1" applyFill="1" applyBorder="1"/>
    <xf numFmtId="0" fontId="11" fillId="0" borderId="0" xfId="0" applyNumberFormat="1" applyFont="1" applyFill="1" applyBorder="1" applyAlignment="1">
      <alignment horizontal="center"/>
    </xf>
    <xf numFmtId="3" fontId="11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2" fontId="11" fillId="0" borderId="4" xfId="0" applyNumberFormat="1" applyFont="1" applyFill="1" applyBorder="1" applyAlignment="1">
      <alignment horizontal="center"/>
    </xf>
    <xf numFmtId="2" fontId="11" fillId="0" borderId="14" xfId="0" applyNumberFormat="1" applyFont="1" applyFill="1" applyBorder="1" applyAlignment="1">
      <alignment horizontal="center"/>
    </xf>
    <xf numFmtId="2" fontId="11" fillId="0" borderId="14" xfId="0" applyNumberFormat="1" applyFont="1" applyFill="1" applyBorder="1" applyAlignment="1">
      <alignment horizontal="center"/>
    </xf>
    <xf numFmtId="2" fontId="11" fillId="0" borderId="5" xfId="0" applyNumberFormat="1" applyFont="1" applyFill="1" applyBorder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1" fontId="11" fillId="0" borderId="5" xfId="0" applyNumberFormat="1" applyFont="1" applyFill="1" applyBorder="1" applyAlignment="1">
      <alignment horizontal="center"/>
    </xf>
    <xf numFmtId="2" fontId="11" fillId="0" borderId="6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2" fontId="11" fillId="0" borderId="7" xfId="0" applyNumberFormat="1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1" fontId="11" fillId="0" borderId="7" xfId="0" applyNumberFormat="1" applyFont="1" applyFill="1" applyBorder="1" applyAlignment="1">
      <alignment horizontal="center"/>
    </xf>
    <xf numFmtId="0" fontId="11" fillId="6" borderId="0" xfId="0" applyNumberFormat="1" applyFont="1" applyFill="1" applyBorder="1"/>
    <xf numFmtId="0" fontId="11" fillId="0" borderId="0" xfId="0" applyNumberFormat="1" applyFont="1" applyFill="1" applyBorder="1"/>
    <xf numFmtId="0" fontId="9" fillId="4" borderId="13" xfId="0" applyNumberFormat="1" applyFont="1" applyFill="1" applyBorder="1" applyAlignment="1">
      <alignment horizontal="center"/>
    </xf>
    <xf numFmtId="0" fontId="12" fillId="6" borderId="0" xfId="0" applyNumberFormat="1" applyFont="1" applyFill="1" applyBorder="1"/>
    <xf numFmtId="2" fontId="11" fillId="0" borderId="8" xfId="0" applyNumberFormat="1" applyFont="1" applyFill="1" applyBorder="1" applyAlignment="1">
      <alignment horizontal="center"/>
    </xf>
    <xf numFmtId="2" fontId="11" fillId="0" borderId="15" xfId="0" applyNumberFormat="1" applyFont="1" applyFill="1" applyBorder="1" applyAlignment="1">
      <alignment horizontal="center"/>
    </xf>
    <xf numFmtId="2" fontId="11" fillId="0" borderId="15" xfId="0" applyNumberFormat="1" applyFont="1" applyFill="1" applyBorder="1" applyAlignment="1">
      <alignment horizontal="center"/>
    </xf>
    <xf numFmtId="2" fontId="11" fillId="0" borderId="9" xfId="0" applyNumberFormat="1" applyFont="1" applyFill="1" applyBorder="1" applyAlignment="1">
      <alignment horizontal="center"/>
    </xf>
    <xf numFmtId="1" fontId="11" fillId="0" borderId="15" xfId="0" applyNumberFormat="1" applyFont="1" applyFill="1" applyBorder="1" applyAlignment="1">
      <alignment horizontal="center"/>
    </xf>
    <xf numFmtId="1" fontId="11" fillId="0" borderId="9" xfId="0" applyNumberFormat="1" applyFont="1" applyFill="1" applyBorder="1" applyAlignment="1">
      <alignment horizontal="center"/>
    </xf>
    <xf numFmtId="0" fontId="11" fillId="0" borderId="10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 applyProtection="1">
      <alignment horizontal="center"/>
      <protection locked="0"/>
    </xf>
    <xf numFmtId="166" fontId="11" fillId="0" borderId="0" xfId="0" applyNumberFormat="1" applyFont="1" applyFill="1" applyBorder="1" applyAlignment="1" applyProtection="1">
      <alignment horizontal="center"/>
      <protection locked="0"/>
    </xf>
    <xf numFmtId="166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6" xfId="0" applyNumberFormat="1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 applyProtection="1">
      <alignment horizontal="center" vertical="center"/>
      <protection locked="0"/>
    </xf>
    <xf numFmtId="166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6" borderId="0" xfId="0" applyNumberFormat="1" applyFont="1" applyFill="1" applyBorder="1"/>
    <xf numFmtId="0" fontId="11" fillId="0" borderId="3" xfId="0" applyNumberFormat="1" applyFont="1" applyFill="1" applyBorder="1" applyAlignment="1">
      <alignment horizontal="center"/>
    </xf>
    <xf numFmtId="2" fontId="11" fillId="0" borderId="11" xfId="0" applyNumberFormat="1" applyFont="1" applyFill="1" applyBorder="1" applyAlignment="1">
      <alignment horizontal="center"/>
    </xf>
    <xf numFmtId="2" fontId="11" fillId="0" borderId="12" xfId="0" applyNumberFormat="1" applyFont="1" applyFill="1" applyBorder="1" applyAlignment="1">
      <alignment horizontal="center"/>
    </xf>
    <xf numFmtId="2" fontId="11" fillId="0" borderId="13" xfId="0" applyNumberFormat="1" applyFont="1" applyFill="1" applyBorder="1" applyAlignment="1">
      <alignment horizontal="center"/>
    </xf>
    <xf numFmtId="0" fontId="11" fillId="0" borderId="7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11" fillId="0" borderId="7" xfId="0" applyNumberFormat="1" applyFont="1" applyFill="1" applyBorder="1"/>
    <xf numFmtId="0" fontId="11" fillId="0" borderId="7" xfId="0" applyNumberFormat="1" applyFont="1" applyFill="1" applyBorder="1"/>
    <xf numFmtId="3" fontId="11" fillId="0" borderId="11" xfId="0" applyNumberFormat="1" applyFont="1" applyFill="1" applyBorder="1" applyAlignment="1">
      <alignment horizontal="center"/>
    </xf>
    <xf numFmtId="3" fontId="11" fillId="0" borderId="12" xfId="0" applyNumberFormat="1" applyFont="1" applyFill="1" applyBorder="1" applyAlignment="1">
      <alignment horizontal="center"/>
    </xf>
    <xf numFmtId="3" fontId="11" fillId="0" borderId="13" xfId="0" applyNumberFormat="1" applyFont="1" applyFill="1" applyBorder="1" applyAlignment="1">
      <alignment horizontal="center"/>
    </xf>
    <xf numFmtId="3" fontId="11" fillId="0" borderId="3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2" fontId="2" fillId="6" borderId="0" xfId="3" applyNumberFormat="1" applyFont="1" applyFill="1" applyBorder="1" applyAlignment="1">
      <alignment horizontal="center"/>
    </xf>
    <xf numFmtId="166" fontId="11" fillId="0" borderId="0" xfId="0" applyNumberFormat="1" applyFont="1" applyFill="1" applyBorder="1"/>
    <xf numFmtId="0" fontId="11" fillId="0" borderId="13" xfId="0" applyNumberFormat="1" applyFont="1" applyFill="1" applyBorder="1" applyAlignment="1">
      <alignment horizontal="center"/>
    </xf>
    <xf numFmtId="0" fontId="11" fillId="0" borderId="1" xfId="0" applyNumberFormat="1" applyFont="1" applyFill="1" applyBorder="1"/>
    <xf numFmtId="0" fontId="11" fillId="0" borderId="7" xfId="0" applyNumberFormat="1" applyFont="1" applyFill="1" applyBorder="1" applyAlignment="1">
      <alignment horizontal="center"/>
    </xf>
    <xf numFmtId="3" fontId="2" fillId="6" borderId="0" xfId="3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166" fontId="11" fillId="0" borderId="4" xfId="0" applyNumberFormat="1" applyFont="1" applyFill="1" applyBorder="1" applyAlignment="1">
      <alignment horizontal="center"/>
    </xf>
    <xf numFmtId="166" fontId="11" fillId="0" borderId="4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11" fillId="0" borderId="15" xfId="0" applyNumberFormat="1" applyFont="1" applyFill="1" applyBorder="1" applyAlignment="1">
      <alignment horizontal="center"/>
    </xf>
    <xf numFmtId="3" fontId="11" fillId="0" borderId="8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166" fontId="11" fillId="0" borderId="8" xfId="0" applyNumberFormat="1" applyFont="1" applyFill="1" applyBorder="1" applyAlignment="1">
      <alignment horizontal="center"/>
    </xf>
    <xf numFmtId="166" fontId="11" fillId="0" borderId="8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 vertical="center"/>
    </xf>
    <xf numFmtId="3" fontId="11" fillId="0" borderId="4" xfId="0" applyNumberFormat="1" applyFont="1" applyFill="1" applyBorder="1" applyAlignment="1">
      <alignment horizontal="center" vertical="center"/>
    </xf>
    <xf numFmtId="3" fontId="11" fillId="0" borderId="14" xfId="0" applyNumberFormat="1" applyFont="1" applyFill="1" applyBorder="1" applyAlignment="1">
      <alignment horizontal="center" vertical="center"/>
    </xf>
    <xf numFmtId="166" fontId="11" fillId="0" borderId="5" xfId="0" applyNumberFormat="1" applyFont="1" applyFill="1" applyBorder="1" applyAlignment="1">
      <alignment horizontal="center" vertical="center"/>
    </xf>
    <xf numFmtId="164" fontId="2" fillId="6" borderId="0" xfId="3" applyNumberFormat="1" applyFont="1" applyFill="1" applyBorder="1"/>
    <xf numFmtId="3" fontId="11" fillId="0" borderId="9" xfId="0" applyNumberFormat="1" applyFont="1" applyFill="1" applyBorder="1" applyAlignment="1">
      <alignment horizontal="center"/>
    </xf>
    <xf numFmtId="0" fontId="11" fillId="0" borderId="8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right" vertical="center"/>
    </xf>
    <xf numFmtId="166" fontId="11" fillId="0" borderId="6" xfId="0" applyNumberFormat="1" applyFont="1" applyFill="1" applyBorder="1" applyAlignment="1">
      <alignment horizontal="center"/>
    </xf>
    <xf numFmtId="166" fontId="11" fillId="0" borderId="7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11" fillId="0" borderId="0" xfId="0" applyNumberFormat="1" applyFont="1" applyFill="1" applyBorder="1"/>
    <xf numFmtId="0" fontId="11" fillId="0" borderId="0" xfId="0" applyNumberFormat="1" applyFont="1" applyFill="1" applyBorder="1"/>
    <xf numFmtId="0" fontId="11" fillId="0" borderId="0" xfId="0" applyNumberFormat="1" applyFont="1" applyFill="1" applyBorder="1"/>
    <xf numFmtId="166" fontId="11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right"/>
    </xf>
    <xf numFmtId="44" fontId="11" fillId="0" borderId="0" xfId="0" applyNumberFormat="1" applyFont="1" applyFill="1" applyBorder="1"/>
    <xf numFmtId="0" fontId="5" fillId="0" borderId="1" xfId="3" applyNumberFormat="1" applyFont="1" applyFill="1" applyBorder="1" applyAlignment="1" applyProtection="1">
      <alignment horizontal="center"/>
      <protection locked="0"/>
    </xf>
    <xf numFmtId="0" fontId="5" fillId="0" borderId="10" xfId="3" applyNumberFormat="1" applyFont="1" applyFill="1" applyBorder="1" applyAlignment="1" applyProtection="1">
      <alignment horizontal="center"/>
      <protection locked="0"/>
    </xf>
    <xf numFmtId="165" fontId="11" fillId="0" borderId="14" xfId="4" applyNumberFormat="1" applyFont="1" applyFill="1" applyBorder="1" applyAlignment="1">
      <alignment horizontal="center"/>
    </xf>
    <xf numFmtId="165" fontId="11" fillId="0" borderId="5" xfId="4" applyNumberFormat="1" applyFont="1" applyFill="1" applyBorder="1" applyAlignment="1">
      <alignment horizontal="center"/>
    </xf>
    <xf numFmtId="165" fontId="11" fillId="0" borderId="0" xfId="4" applyNumberFormat="1" applyFont="1" applyFill="1" applyBorder="1" applyAlignment="1">
      <alignment horizontal="center"/>
    </xf>
    <xf numFmtId="165" fontId="11" fillId="0" borderId="7" xfId="4" applyNumberFormat="1" applyFont="1" applyFill="1" applyBorder="1" applyAlignment="1">
      <alignment horizontal="center"/>
    </xf>
    <xf numFmtId="165" fontId="11" fillId="0" borderId="15" xfId="4" applyNumberFormat="1" applyFont="1" applyFill="1" applyBorder="1" applyAlignment="1">
      <alignment horizontal="center"/>
    </xf>
    <xf numFmtId="165" fontId="11" fillId="0" borderId="9" xfId="4" applyNumberFormat="1" applyFont="1" applyFill="1" applyBorder="1" applyAlignment="1">
      <alignment horizontal="center"/>
    </xf>
    <xf numFmtId="0" fontId="11" fillId="0" borderId="2" xfId="0" applyNumberFormat="1" applyFont="1" applyFill="1" applyBorder="1"/>
    <xf numFmtId="0" fontId="11" fillId="0" borderId="0" xfId="0" applyNumberFormat="1" applyFont="1" applyFill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 vertical="center"/>
    </xf>
    <xf numFmtId="2" fontId="11" fillId="0" borderId="7" xfId="0" applyNumberFormat="1" applyFont="1" applyFill="1" applyBorder="1" applyAlignment="1">
      <alignment horizontal="center"/>
    </xf>
    <xf numFmtId="166" fontId="11" fillId="0" borderId="14" xfId="0" applyNumberFormat="1" applyFont="1" applyFill="1" applyBorder="1" applyAlignment="1">
      <alignment horizontal="center"/>
    </xf>
    <xf numFmtId="3" fontId="11" fillId="0" borderId="6" xfId="0" applyNumberFormat="1" applyFont="1" applyFill="1" applyBorder="1" applyAlignment="1">
      <alignment horizontal="center" vertical="center"/>
    </xf>
    <xf numFmtId="3" fontId="11" fillId="0" borderId="0" xfId="0" applyNumberFormat="1" applyFont="1" applyFill="1" applyBorder="1" applyAlignment="1">
      <alignment horizontal="center" vertical="center"/>
    </xf>
    <xf numFmtId="166" fontId="11" fillId="0" borderId="7" xfId="0" applyNumberFormat="1" applyFont="1" applyFill="1" applyBorder="1" applyAlignment="1">
      <alignment horizontal="center" vertical="center"/>
    </xf>
    <xf numFmtId="166" fontId="11" fillId="0" borderId="6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/>
    </xf>
    <xf numFmtId="166" fontId="11" fillId="0" borderId="6" xfId="0" applyNumberFormat="1" applyFont="1" applyFill="1" applyBorder="1" applyAlignment="1">
      <alignment horizontal="center" vertical="center"/>
    </xf>
    <xf numFmtId="3" fontId="11" fillId="0" borderId="7" xfId="0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>
      <alignment horizontal="center" vertical="center"/>
    </xf>
    <xf numFmtId="1" fontId="11" fillId="0" borderId="4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 vertical="center"/>
    </xf>
    <xf numFmtId="1" fontId="11" fillId="0" borderId="8" xfId="0" applyNumberFormat="1" applyFont="1" applyFill="1" applyBorder="1" applyAlignment="1">
      <alignment horizontal="center"/>
    </xf>
    <xf numFmtId="0" fontId="11" fillId="0" borderId="7" xfId="0" applyNumberFormat="1" applyFont="1" applyFill="1" applyBorder="1"/>
    <xf numFmtId="0" fontId="11" fillId="0" borderId="9" xfId="0" applyNumberFormat="1" applyFont="1" applyFill="1" applyBorder="1"/>
    <xf numFmtId="0" fontId="11" fillId="0" borderId="5" xfId="0" applyNumberFormat="1" applyFont="1" applyFill="1" applyBorder="1" applyAlignment="1">
      <alignment horizontal="center"/>
    </xf>
    <xf numFmtId="2" fontId="11" fillId="0" borderId="9" xfId="0" applyNumberFormat="1" applyFont="1" applyFill="1" applyBorder="1" applyAlignment="1">
      <alignment horizontal="center"/>
    </xf>
    <xf numFmtId="0" fontId="11" fillId="3" borderId="0" xfId="0" applyNumberFormat="1" applyFont="1" applyFill="1" applyBorder="1" applyAlignment="1">
      <alignment horizontal="center" vertical="center"/>
    </xf>
    <xf numFmtId="2" fontId="11" fillId="3" borderId="0" xfId="0" applyNumberFormat="1" applyFont="1" applyFill="1" applyBorder="1" applyAlignment="1">
      <alignment horizontal="center" vertical="center"/>
    </xf>
    <xf numFmtId="3" fontId="11" fillId="3" borderId="6" xfId="0" applyNumberFormat="1" applyFont="1" applyFill="1" applyBorder="1" applyAlignment="1">
      <alignment horizontal="center" vertical="center"/>
    </xf>
    <xf numFmtId="3" fontId="11" fillId="3" borderId="0" xfId="0" applyNumberFormat="1" applyFont="1" applyFill="1" applyBorder="1" applyAlignment="1">
      <alignment horizontal="center" vertical="center"/>
    </xf>
    <xf numFmtId="1" fontId="11" fillId="3" borderId="6" xfId="0" applyNumberFormat="1" applyFont="1" applyFill="1" applyBorder="1" applyAlignment="1">
      <alignment horizontal="center" vertical="center"/>
    </xf>
    <xf numFmtId="0" fontId="11" fillId="3" borderId="9" xfId="0" applyNumberFormat="1" applyFont="1" applyFill="1" applyBorder="1" applyAlignment="1">
      <alignment horizontal="center" vertical="center"/>
    </xf>
    <xf numFmtId="166" fontId="11" fillId="3" borderId="6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4" fontId="11" fillId="0" borderId="1" xfId="0" applyNumberFormat="1" applyFont="1" applyFill="1" applyBorder="1" applyAlignment="1">
      <alignment horizontal="center"/>
    </xf>
    <xf numFmtId="4" fontId="11" fillId="0" borderId="2" xfId="0" applyNumberFormat="1" applyFont="1" applyFill="1" applyBorder="1" applyAlignment="1">
      <alignment horizontal="center"/>
    </xf>
    <xf numFmtId="4" fontId="11" fillId="0" borderId="3" xfId="0" applyNumberFormat="1" applyFont="1" applyFill="1" applyBorder="1" applyAlignment="1">
      <alignment horizontal="center"/>
    </xf>
    <xf numFmtId="4" fontId="11" fillId="0" borderId="9" xfId="0" applyNumberFormat="1" applyFont="1" applyFill="1" applyBorder="1" applyAlignment="1">
      <alignment horizontal="center"/>
    </xf>
    <xf numFmtId="4" fontId="11" fillId="0" borderId="14" xfId="0" applyNumberFormat="1" applyFont="1" applyFill="1" applyBorder="1" applyAlignment="1">
      <alignment horizontal="center"/>
    </xf>
    <xf numFmtId="4" fontId="11" fillId="0" borderId="0" xfId="0" applyNumberFormat="1" applyFont="1" applyFill="1" applyBorder="1" applyAlignment="1">
      <alignment horizontal="center"/>
    </xf>
    <xf numFmtId="4" fontId="11" fillId="0" borderId="11" xfId="0" applyNumberFormat="1" applyFont="1" applyFill="1" applyBorder="1" applyAlignment="1">
      <alignment horizontal="center"/>
    </xf>
    <xf numFmtId="4" fontId="11" fillId="0" borderId="12" xfId="0" applyNumberFormat="1" applyFont="1" applyFill="1" applyBorder="1" applyAlignment="1">
      <alignment horizontal="center"/>
    </xf>
    <xf numFmtId="4" fontId="11" fillId="0" borderId="13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166" fontId="11" fillId="0" borderId="14" xfId="0" applyNumberFormat="1" applyFont="1" applyFill="1" applyBorder="1" applyAlignment="1">
      <alignment horizontal="center"/>
    </xf>
    <xf numFmtId="166" fontId="11" fillId="0" borderId="15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0" fontId="11" fillId="0" borderId="2" xfId="0" applyNumberFormat="1" applyFont="1" applyFill="1" applyBorder="1"/>
    <xf numFmtId="0" fontId="11" fillId="0" borderId="3" xfId="0" applyNumberFormat="1" applyFont="1" applyFill="1" applyBorder="1"/>
    <xf numFmtId="1" fontId="4" fillId="5" borderId="10" xfId="3" applyNumberFormat="1" applyFont="1" applyFill="1" applyBorder="1" applyAlignment="1">
      <alignment horizontal="center"/>
    </xf>
    <xf numFmtId="3" fontId="5" fillId="5" borderId="1" xfId="3" applyNumberFormat="1" applyFont="1" applyFill="1" applyBorder="1" applyAlignment="1">
      <alignment horizontal="center"/>
    </xf>
    <xf numFmtId="3" fontId="5" fillId="5" borderId="3" xfId="3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 vertical="center"/>
    </xf>
    <xf numFmtId="0" fontId="11" fillId="0" borderId="15" xfId="0" applyNumberFormat="1" applyFont="1" applyFill="1" applyBorder="1"/>
    <xf numFmtId="2" fontId="11" fillId="0" borderId="7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/>
    </xf>
    <xf numFmtId="0" fontId="11" fillId="0" borderId="15" xfId="0" applyNumberFormat="1" applyFont="1" applyFill="1" applyBorder="1" applyAlignment="1">
      <alignment horizontal="center" vertical="center"/>
    </xf>
    <xf numFmtId="2" fontId="11" fillId="0" borderId="1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/>
    <xf numFmtId="0" fontId="11" fillId="3" borderId="2" xfId="0" applyNumberFormat="1" applyFont="1" applyFill="1" applyBorder="1" applyAlignment="1">
      <alignment vertical="center"/>
    </xf>
    <xf numFmtId="0" fontId="11" fillId="0" borderId="3" xfId="0" applyNumberFormat="1" applyFont="1" applyFill="1" applyBorder="1"/>
    <xf numFmtId="0" fontId="11" fillId="0" borderId="2" xfId="0" applyNumberFormat="1" applyFont="1" applyFill="1" applyBorder="1" applyAlignment="1">
      <alignment vertical="center"/>
    </xf>
    <xf numFmtId="0" fontId="11" fillId="0" borderId="2" xfId="0" applyNumberFormat="1" applyFont="1" applyFill="1" applyBorder="1"/>
    <xf numFmtId="168" fontId="11" fillId="0" borderId="5" xfId="0" applyNumberFormat="1" applyFont="1" applyFill="1" applyBorder="1" applyAlignment="1">
      <alignment horizontal="center"/>
    </xf>
    <xf numFmtId="168" fontId="11" fillId="0" borderId="7" xfId="0" applyNumberFormat="1" applyFont="1" applyFill="1" applyBorder="1" applyAlignment="1">
      <alignment horizontal="center"/>
    </xf>
    <xf numFmtId="168" fontId="11" fillId="0" borderId="9" xfId="0" applyNumberFormat="1" applyFont="1" applyFill="1" applyBorder="1" applyAlignment="1">
      <alignment horizontal="center"/>
    </xf>
    <xf numFmtId="0" fontId="11" fillId="0" borderId="1" xfId="0" applyNumberFormat="1" applyFont="1" applyFill="1" applyBorder="1"/>
    <xf numFmtId="0" fontId="11" fillId="0" borderId="6" xfId="0" applyNumberFormat="1" applyFont="1" applyFill="1" applyBorder="1"/>
    <xf numFmtId="1" fontId="11" fillId="0" borderId="15" xfId="0" applyNumberFormat="1" applyFont="1" applyFill="1" applyBorder="1" applyAlignment="1">
      <alignment horizontal="center"/>
    </xf>
    <xf numFmtId="168" fontId="11" fillId="0" borderId="7" xfId="0" applyNumberFormat="1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vertical="center"/>
    </xf>
    <xf numFmtId="166" fontId="11" fillId="0" borderId="0" xfId="0" applyNumberFormat="1" applyFont="1" applyFill="1" applyBorder="1" applyAlignment="1" applyProtection="1">
      <alignment horizontal="center" vertical="center"/>
      <protection locked="0"/>
    </xf>
    <xf numFmtId="1" fontId="11" fillId="0" borderId="0" xfId="0" applyNumberFormat="1" applyFont="1" applyFill="1" applyBorder="1" applyAlignment="1">
      <alignment horizontal="center" vertical="center"/>
    </xf>
    <xf numFmtId="1" fontId="11" fillId="0" borderId="7" xfId="0" applyNumberFormat="1" applyFont="1" applyFill="1" applyBorder="1" applyAlignment="1">
      <alignment horizontal="center" vertical="center"/>
    </xf>
    <xf numFmtId="1" fontId="11" fillId="0" borderId="0" xfId="0" applyNumberFormat="1" applyFont="1" applyFill="1" applyBorder="1" applyAlignment="1">
      <alignment horizontal="center" vertical="center"/>
    </xf>
    <xf numFmtId="0" fontId="11" fillId="0" borderId="12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15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top"/>
    </xf>
    <xf numFmtId="0" fontId="0" fillId="0" borderId="15" xfId="0" applyNumberFormat="1" applyFont="1" applyFill="1" applyBorder="1" applyAlignment="1">
      <alignment horizont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15" xfId="0" applyNumberFormat="1" applyFont="1" applyFill="1" applyBorder="1" applyAlignment="1">
      <alignment horizontal="center" vertical="top"/>
    </xf>
    <xf numFmtId="166" fontId="11" fillId="0" borderId="14" xfId="0" applyNumberFormat="1" applyFont="1" applyFill="1" applyBorder="1" applyAlignment="1">
      <alignment horizontal="center" vertical="center"/>
    </xf>
    <xf numFmtId="166" fontId="11" fillId="0" borderId="15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>
      <alignment horizontal="center" vertical="center"/>
    </xf>
    <xf numFmtId="1" fontId="11" fillId="0" borderId="4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 vertical="center"/>
    </xf>
    <xf numFmtId="1" fontId="11" fillId="0" borderId="8" xfId="0" applyNumberFormat="1" applyFont="1" applyFill="1" applyBorder="1" applyAlignment="1">
      <alignment horizontal="center"/>
    </xf>
    <xf numFmtId="0" fontId="11" fillId="7" borderId="0" xfId="0" applyNumberFormat="1" applyFont="1" applyFill="1" applyBorder="1"/>
    <xf numFmtId="0" fontId="5" fillId="4" borderId="8" xfId="3" applyNumberFormat="1" applyFont="1" applyFill="1" applyBorder="1" applyAlignment="1">
      <alignment horizontal="left"/>
    </xf>
    <xf numFmtId="0" fontId="5" fillId="5" borderId="6" xfId="3" applyNumberFormat="1" applyFont="1" applyFill="1" applyBorder="1" applyAlignment="1">
      <alignment horizontal="left"/>
    </xf>
    <xf numFmtId="0" fontId="5" fillId="5" borderId="8" xfId="3" applyNumberFormat="1" applyFont="1" applyFill="1" applyBorder="1" applyAlignment="1">
      <alignment horizontal="left"/>
    </xf>
    <xf numFmtId="0" fontId="14" fillId="0" borderId="4" xfId="0" applyNumberFormat="1" applyFont="1" applyFill="1" applyBorder="1" applyAlignment="1">
      <alignment horizontal="right" vertical="center"/>
    </xf>
    <xf numFmtId="0" fontId="14" fillId="0" borderId="14" xfId="0" applyNumberFormat="1" applyFont="1" applyFill="1" applyBorder="1" applyAlignment="1">
      <alignment horizontal="right" vertical="center"/>
    </xf>
    <xf numFmtId="0" fontId="14" fillId="0" borderId="14" xfId="0" applyNumberFormat="1" applyFont="1" applyFill="1" applyBorder="1" applyAlignment="1">
      <alignment vertical="center"/>
    </xf>
    <xf numFmtId="0" fontId="14" fillId="0" borderId="8" xfId="0" applyNumberFormat="1" applyFont="1" applyFill="1" applyBorder="1" applyAlignment="1">
      <alignment horizontal="right" vertical="center"/>
    </xf>
    <xf numFmtId="0" fontId="14" fillId="0" borderId="15" xfId="0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left" vertical="center"/>
    </xf>
    <xf numFmtId="0" fontId="11" fillId="0" borderId="3" xfId="0" applyNumberFormat="1" applyFont="1" applyFill="1" applyBorder="1"/>
    <xf numFmtId="0" fontId="8" fillId="6" borderId="0" xfId="3" applyNumberFormat="1" applyFont="1" applyFill="1" applyBorder="1" applyAlignment="1">
      <alignment horizontal="left" vertical="top" wrapText="1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0" fontId="12" fillId="0" borderId="10" xfId="0" applyNumberFormat="1" applyFont="1" applyFill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3" applyNumberFormat="1" applyFont="1" applyFill="1" applyBorder="1" applyAlignment="1">
      <alignment horizontal="center"/>
    </xf>
    <xf numFmtId="0" fontId="4" fillId="2" borderId="12" xfId="3" applyNumberFormat="1" applyFont="1" applyFill="1" applyBorder="1" applyAlignment="1">
      <alignment horizontal="center"/>
    </xf>
    <xf numFmtId="0" fontId="4" fillId="2" borderId="13" xfId="3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4" fillId="2" borderId="4" xfId="3" applyNumberFormat="1" applyFont="1" applyFill="1" applyBorder="1" applyAlignment="1">
      <alignment horizontal="center"/>
    </xf>
    <xf numFmtId="0" fontId="4" fillId="2" borderId="14" xfId="3" applyNumberFormat="1" applyFont="1" applyFill="1" applyBorder="1" applyAlignment="1">
      <alignment horizontal="center"/>
    </xf>
    <xf numFmtId="0" fontId="4" fillId="2" borderId="5" xfId="3" applyNumberFormat="1" applyFont="1" applyFill="1" applyBorder="1" applyAlignment="1">
      <alignment horizontal="center"/>
    </xf>
    <xf numFmtId="0" fontId="5" fillId="6" borderId="0" xfId="3" applyNumberFormat="1" applyFont="1" applyFill="1" applyBorder="1" applyAlignment="1">
      <alignment horizontal="left" vertical="top" wrapText="1"/>
    </xf>
    <xf numFmtId="0" fontId="11" fillId="0" borderId="4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0" fontId="4" fillId="5" borderId="11" xfId="3" applyNumberFormat="1" applyFont="1" applyFill="1" applyBorder="1" applyAlignment="1">
      <alignment horizontal="center"/>
    </xf>
    <xf numFmtId="0" fontId="4" fillId="5" borderId="12" xfId="3" applyNumberFormat="1" applyFont="1" applyFill="1" applyBorder="1" applyAlignment="1">
      <alignment horizontal="center"/>
    </xf>
    <xf numFmtId="0" fontId="4" fillId="5" borderId="13" xfId="3" applyNumberFormat="1" applyFont="1" applyFill="1" applyBorder="1" applyAlignment="1">
      <alignment horizontal="center"/>
    </xf>
    <xf numFmtId="0" fontId="7" fillId="3" borderId="11" xfId="3" applyNumberFormat="1" applyFont="1" applyFill="1" applyBorder="1" applyAlignment="1">
      <alignment horizontal="center"/>
    </xf>
    <xf numFmtId="0" fontId="7" fillId="3" borderId="12" xfId="3" applyNumberFormat="1" applyFont="1" applyFill="1" applyBorder="1" applyAlignment="1">
      <alignment horizontal="center"/>
    </xf>
    <xf numFmtId="0" fontId="7" fillId="3" borderId="13" xfId="3" applyNumberFormat="1" applyFont="1" applyFill="1" applyBorder="1" applyAlignment="1">
      <alignment horizontal="center"/>
    </xf>
    <xf numFmtId="0" fontId="4" fillId="3" borderId="12" xfId="3" applyNumberFormat="1" applyFont="1" applyFill="1" applyBorder="1" applyAlignment="1">
      <alignment horizontal="center"/>
    </xf>
    <xf numFmtId="0" fontId="4" fillId="3" borderId="13" xfId="3" applyNumberFormat="1" applyFont="1" applyFill="1" applyBorder="1" applyAlignment="1">
      <alignment horizontal="center"/>
    </xf>
    <xf numFmtId="3" fontId="5" fillId="5" borderId="11" xfId="3" applyNumberFormat="1" applyFont="1" applyFill="1" applyBorder="1" applyAlignment="1">
      <alignment horizontal="center"/>
    </xf>
    <xf numFmtId="3" fontId="5" fillId="5" borderId="13" xfId="3" applyNumberFormat="1" applyFont="1" applyFill="1" applyBorder="1" applyAlignment="1">
      <alignment horizontal="center"/>
    </xf>
  </cellXfs>
  <cellStyles count="5">
    <cellStyle name="Currency 2" xfId="1"/>
    <cellStyle name="Normal" xfId="0" builtinId="0"/>
    <cellStyle name="Normal 2" xfId="2"/>
    <cellStyle name="Normal 3" xfId="3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Central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 customWidth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128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129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130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131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132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133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134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135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136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8.75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5" zoomScale="90" zoomScaleNormal="90" workbookViewId="0">
      <selection activeCell="B41" sqref="B41:G41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36" width="9.140625" style="48" customWidth="1"/>
    <col min="37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0</v>
      </c>
      <c r="O8" s="50"/>
      <c r="P8" s="51" t="s">
        <v>1</v>
      </c>
      <c r="Q8" s="52" t="s">
        <v>2</v>
      </c>
      <c r="R8" s="52" t="s">
        <v>3</v>
      </c>
      <c r="S8" s="53" t="s">
        <v>4</v>
      </c>
      <c r="T8" s="54" t="s">
        <v>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6</v>
      </c>
      <c r="O9" s="24"/>
      <c r="P9" s="55" t="s">
        <v>6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30</v>
      </c>
      <c r="AJ9" s="47"/>
      <c r="AK9" s="47"/>
    </row>
    <row r="10" spans="1:37" ht="18" x14ac:dyDescent="0.25">
      <c r="A10" s="47"/>
      <c r="B10" s="58" t="s">
        <v>7</v>
      </c>
      <c r="C10" s="272" t="s">
        <v>8</v>
      </c>
      <c r="D10" s="272"/>
      <c r="E10" s="11"/>
      <c r="F10" s="47"/>
      <c r="G10" s="47"/>
      <c r="H10" s="47"/>
      <c r="I10" s="47"/>
      <c r="J10" s="47"/>
      <c r="K10" s="47"/>
      <c r="N10" s="2" t="s">
        <v>9</v>
      </c>
      <c r="O10" s="3"/>
      <c r="P10" s="59" t="s">
        <v>10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44</v>
      </c>
      <c r="AJ10" s="47"/>
      <c r="AK10" s="47"/>
    </row>
    <row r="11" spans="1:37" ht="18" x14ac:dyDescent="0.25">
      <c r="A11" s="47"/>
      <c r="B11" s="58" t="s">
        <v>11</v>
      </c>
      <c r="C11" s="272" t="s">
        <v>8</v>
      </c>
      <c r="D11" s="272"/>
      <c r="E11" s="63"/>
      <c r="F11" s="47"/>
      <c r="G11" s="47"/>
      <c r="H11" s="47"/>
      <c r="I11" s="47"/>
      <c r="J11" s="47"/>
      <c r="K11" s="47"/>
      <c r="N11" s="2" t="s">
        <v>12</v>
      </c>
      <c r="O11" s="3"/>
      <c r="P11" s="64" t="s">
        <v>13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14</v>
      </c>
      <c r="C12" s="273">
        <f ca="1">TODAY()</f>
        <v>42523</v>
      </c>
      <c r="D12" s="273"/>
      <c r="E12" s="65"/>
      <c r="F12" s="47"/>
      <c r="G12" s="47"/>
      <c r="H12" s="47"/>
      <c r="I12" s="47"/>
      <c r="J12" s="47"/>
      <c r="K12" s="47"/>
      <c r="N12" s="22" t="s">
        <v>15</v>
      </c>
      <c r="O12" s="25"/>
      <c r="P12" s="66" t="s">
        <v>16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78" t="s">
        <v>17</v>
      </c>
      <c r="C14" s="279"/>
      <c r="D14" s="280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18</v>
      </c>
      <c r="C15" s="4" t="s">
        <v>19</v>
      </c>
      <c r="D15" s="5" t="s">
        <v>20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6" t="s">
        <v>21</v>
      </c>
      <c r="C16" s="35">
        <v>1</v>
      </c>
      <c r="D16" s="35">
        <v>50</v>
      </c>
      <c r="E16" s="65"/>
      <c r="F16" s="47"/>
      <c r="G16" s="47"/>
      <c r="H16" s="47"/>
      <c r="I16" s="47"/>
      <c r="J16" s="47"/>
      <c r="K16" s="47"/>
      <c r="N16" s="269" t="s">
        <v>22</v>
      </c>
      <c r="O16" s="270"/>
      <c r="P16" s="270"/>
      <c r="Q16" s="270"/>
      <c r="R16" s="270"/>
      <c r="S16" s="270"/>
      <c r="T16" s="270"/>
      <c r="U16" s="270"/>
      <c r="V16" s="270"/>
      <c r="W16" s="270"/>
      <c r="X16" s="271"/>
      <c r="Y16" s="269" t="s">
        <v>23</v>
      </c>
      <c r="Z16" s="270"/>
      <c r="AA16" s="271"/>
      <c r="AJ16" s="47"/>
      <c r="AK16" s="47"/>
    </row>
    <row r="17" spans="1:37" ht="18" x14ac:dyDescent="0.25">
      <c r="A17" s="47"/>
      <c r="B17" s="6" t="s">
        <v>24</v>
      </c>
      <c r="C17" s="35"/>
      <c r="D17" s="35"/>
      <c r="E17" s="65"/>
      <c r="F17" s="47"/>
      <c r="G17" s="47"/>
      <c r="H17" s="47"/>
      <c r="I17" s="47"/>
      <c r="J17" s="47"/>
      <c r="K17" s="47"/>
      <c r="N17" s="235" t="s">
        <v>18</v>
      </c>
      <c r="O17" s="59" t="s">
        <v>25</v>
      </c>
      <c r="P17" s="73" t="s">
        <v>26</v>
      </c>
      <c r="Q17" s="73" t="s">
        <v>27</v>
      </c>
      <c r="R17" s="73" t="s">
        <v>28</v>
      </c>
      <c r="S17" s="75" t="str">
        <f>P13&amp;" Min"</f>
        <v>NPK Min</v>
      </c>
      <c r="T17" s="76" t="s">
        <v>29</v>
      </c>
      <c r="U17" s="77" t="s">
        <v>30</v>
      </c>
      <c r="V17" s="77" t="s">
        <v>31</v>
      </c>
      <c r="W17" s="77" t="s">
        <v>32</v>
      </c>
      <c r="X17" s="78" t="str">
        <f>P13&amp;" Max"</f>
        <v>NPK Max</v>
      </c>
      <c r="Y17" s="64" t="s">
        <v>33</v>
      </c>
      <c r="Z17" s="75" t="s">
        <v>34</v>
      </c>
      <c r="AA17" s="53" t="s">
        <v>35</v>
      </c>
      <c r="AJ17" s="47"/>
      <c r="AK17" s="47"/>
    </row>
    <row r="18" spans="1:37" ht="18" x14ac:dyDescent="0.25">
      <c r="A18" s="47"/>
      <c r="B18" s="6" t="s">
        <v>36</v>
      </c>
      <c r="C18" s="35"/>
      <c r="D18" s="35"/>
      <c r="E18" s="47"/>
      <c r="F18" s="47"/>
      <c r="G18" s="47"/>
      <c r="H18" s="47"/>
      <c r="I18" s="47"/>
      <c r="J18" s="47"/>
      <c r="K18" s="47"/>
      <c r="N18" s="234" t="s">
        <v>21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500</v>
      </c>
      <c r="U18" s="80">
        <f>IF($F$27&lt;=0,0,300)</f>
        <v>300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6" t="s">
        <v>37</v>
      </c>
      <c r="C19" s="35"/>
      <c r="D19" s="35"/>
      <c r="E19" s="65"/>
      <c r="F19" s="47"/>
      <c r="G19" s="47"/>
      <c r="H19" s="47"/>
      <c r="I19" s="47"/>
      <c r="J19" s="47"/>
      <c r="K19" s="47"/>
      <c r="N19" s="230" t="s">
        <v>24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350</v>
      </c>
      <c r="U19" s="86">
        <f>IF($F$27&lt;=0,0,200)</f>
        <v>200</v>
      </c>
      <c r="V19" s="86">
        <f>IF($F$28&lt;=0,0,200)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6" t="s">
        <v>38</v>
      </c>
      <c r="C20" s="35"/>
      <c r="D20" s="35"/>
      <c r="E20" s="65"/>
      <c r="F20" s="91"/>
      <c r="G20" s="47"/>
      <c r="H20" s="47"/>
      <c r="I20" s="47"/>
      <c r="J20" s="47"/>
      <c r="K20" s="47"/>
      <c r="N20" s="230" t="s">
        <v>39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300</v>
      </c>
      <c r="U20" s="86">
        <f>IF($F$27&lt;=0,0,200)</f>
        <v>200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58" t="s">
        <v>40</v>
      </c>
      <c r="C21" s="36"/>
      <c r="D21" s="36"/>
      <c r="E21" s="65"/>
      <c r="F21" s="91"/>
      <c r="G21" s="257"/>
      <c r="H21" s="47"/>
      <c r="I21" s="47"/>
      <c r="J21" s="47"/>
      <c r="K21" s="47"/>
      <c r="N21" s="266" t="s">
        <v>37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200</v>
      </c>
      <c r="U21" s="86">
        <f>IF($F$27&lt;=0,0,100)</f>
        <v>100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41</v>
      </c>
      <c r="C22" s="93">
        <f>SUM(C16:C21)</f>
        <v>1</v>
      </c>
      <c r="D22" s="94"/>
      <c r="E22" s="47"/>
      <c r="F22" s="91"/>
      <c r="G22" s="47"/>
      <c r="H22" s="47"/>
      <c r="I22" s="47"/>
      <c r="J22" s="47"/>
      <c r="K22" s="47"/>
      <c r="N22" s="230" t="s">
        <v>38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200</v>
      </c>
      <c r="U22" s="86">
        <f>IF($F$27&lt;=0,0,100)</f>
        <v>100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67" t="s">
        <v>42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200</v>
      </c>
      <c r="U23" s="96">
        <f>IF($F$27&lt;=0,0,100)</f>
        <v>100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86">
        <v>90</v>
      </c>
      <c r="Z23" s="236">
        <v>40</v>
      </c>
      <c r="AA23" s="100">
        <v>50</v>
      </c>
      <c r="AJ23" s="47"/>
      <c r="AK23" s="47"/>
    </row>
    <row r="24" spans="1:37" ht="18" x14ac:dyDescent="0.25">
      <c r="A24" s="47"/>
      <c r="B24" s="274" t="s">
        <v>43</v>
      </c>
      <c r="C24" s="275"/>
      <c r="D24" s="275"/>
      <c r="E24" s="275"/>
      <c r="F24" s="276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44</v>
      </c>
      <c r="C25" s="19" t="s">
        <v>45</v>
      </c>
      <c r="D25" s="20" t="s">
        <v>46</v>
      </c>
      <c r="E25" s="19" t="s">
        <v>47</v>
      </c>
      <c r="F25" s="21" t="s">
        <v>48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6</v>
      </c>
      <c r="C26" s="30">
        <v>0.46</v>
      </c>
      <c r="D26" s="30">
        <v>0</v>
      </c>
      <c r="E26" s="31">
        <v>0</v>
      </c>
      <c r="F26" s="161">
        <v>1500</v>
      </c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49</v>
      </c>
      <c r="C27" s="32">
        <v>0</v>
      </c>
      <c r="D27" s="32">
        <v>0.46</v>
      </c>
      <c r="E27" s="33">
        <v>0</v>
      </c>
      <c r="F27" s="35">
        <v>2200</v>
      </c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50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51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52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69" t="s">
        <v>53</v>
      </c>
      <c r="M30" s="270"/>
      <c r="N30" s="271"/>
      <c r="O30" s="282" t="s">
        <v>54</v>
      </c>
      <c r="P30" s="283"/>
      <c r="Q30" s="283"/>
      <c r="R30" s="283"/>
      <c r="S30" s="277"/>
      <c r="T30" s="269" t="s">
        <v>55</v>
      </c>
      <c r="U30" s="270"/>
      <c r="V30" s="270"/>
      <c r="W30" s="270"/>
      <c r="X30" s="270"/>
      <c r="Y30" s="270"/>
      <c r="Z30" s="270"/>
      <c r="AA30" s="270"/>
      <c r="AB30" s="269" t="s">
        <v>56</v>
      </c>
      <c r="AC30" s="270"/>
      <c r="AD30" s="271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4" t="s">
        <v>18</v>
      </c>
      <c r="M31" s="51" t="s">
        <v>57</v>
      </c>
      <c r="N31" s="55" t="s">
        <v>58</v>
      </c>
      <c r="O31" s="102" t="s">
        <v>59</v>
      </c>
      <c r="P31" s="103" t="s">
        <v>60</v>
      </c>
      <c r="Q31" s="103" t="s">
        <v>61</v>
      </c>
      <c r="R31" s="103" t="s">
        <v>62</v>
      </c>
      <c r="S31" s="104" t="str">
        <f>P13&amp;" kg"</f>
        <v>NPK kg</v>
      </c>
      <c r="T31" s="76" t="s">
        <v>63</v>
      </c>
      <c r="U31" s="77" t="s">
        <v>64</v>
      </c>
      <c r="V31" s="77" t="s">
        <v>65</v>
      </c>
      <c r="W31" s="77" t="s">
        <v>66</v>
      </c>
      <c r="X31" s="77" t="s">
        <v>67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33</v>
      </c>
      <c r="AC31" s="75" t="s">
        <v>34</v>
      </c>
      <c r="AD31" s="53" t="s">
        <v>35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34" t="s">
        <v>21</v>
      </c>
      <c r="M32" s="231">
        <f>C16*0.404686</f>
        <v>0.40468599999999999</v>
      </c>
      <c r="N32" s="189">
        <f t="shared" ref="N32:N37" si="3">IF(D16&lt;=0,0,D16)</f>
        <v>50</v>
      </c>
      <c r="O32" s="106">
        <v>138.03572354609938</v>
      </c>
      <c r="P32" s="107">
        <v>18.205262591529102</v>
      </c>
      <c r="Q32" s="107">
        <v>0</v>
      </c>
      <c r="R32" s="107">
        <v>0</v>
      </c>
      <c r="S32" s="108">
        <v>0</v>
      </c>
      <c r="T32" s="109">
        <f>IF(M32&lt;=0,0,O32*$Q$9)</f>
        <v>63.496432831205716</v>
      </c>
      <c r="U32" s="110">
        <f>IF(M32&lt;=0,0,P32*$R$10)</f>
        <v>3.6596218861491803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53">
        <f>T32+V32+Y32</f>
        <v>63.496432831205716</v>
      </c>
      <c r="AC32" s="83">
        <f t="shared" ref="AB32:AD37" si="4">U32+W32+Z32</f>
        <v>3.6596218861491803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74" t="s">
        <v>68</v>
      </c>
      <c r="C33" s="276"/>
      <c r="D33" s="91"/>
      <c r="E33" s="91"/>
      <c r="F33" s="91"/>
      <c r="G33" s="47"/>
      <c r="H33" s="47"/>
      <c r="I33" s="47"/>
      <c r="J33" s="47"/>
      <c r="K33" s="47"/>
      <c r="L33" s="230" t="s">
        <v>24</v>
      </c>
      <c r="M33" s="232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54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69</v>
      </c>
      <c r="C34" s="162">
        <v>2000</v>
      </c>
      <c r="D34" s="26"/>
      <c r="E34" s="17"/>
      <c r="F34" s="91"/>
      <c r="G34" s="47"/>
      <c r="H34" s="47"/>
      <c r="I34" s="47"/>
      <c r="J34" s="47"/>
      <c r="K34" s="47"/>
      <c r="L34" s="230" t="s">
        <v>39</v>
      </c>
      <c r="M34" s="237">
        <f t="shared" si="5"/>
        <v>0</v>
      </c>
      <c r="N34" s="238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39">
        <v>0</v>
      </c>
      <c r="T34" s="185">
        <f t="shared" si="6"/>
        <v>0</v>
      </c>
      <c r="U34" s="240">
        <f t="shared" si="7"/>
        <v>0</v>
      </c>
      <c r="V34" s="240">
        <f t="shared" si="8"/>
        <v>0</v>
      </c>
      <c r="W34" s="240">
        <f t="shared" si="9"/>
        <v>0</v>
      </c>
      <c r="X34" s="240">
        <f t="shared" si="10"/>
        <v>0</v>
      </c>
      <c r="Y34" s="240">
        <f t="shared" si="11"/>
        <v>0</v>
      </c>
      <c r="Z34" s="240">
        <f t="shared" si="12"/>
        <v>0</v>
      </c>
      <c r="AA34" s="241">
        <f t="shared" si="13"/>
        <v>0</v>
      </c>
      <c r="AB34" s="255">
        <f t="shared" si="4"/>
        <v>0</v>
      </c>
      <c r="AC34" s="242">
        <f t="shared" si="4"/>
        <v>0</v>
      </c>
      <c r="AD34" s="241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81"/>
      <c r="C35" s="281"/>
      <c r="D35" s="37"/>
      <c r="E35" s="65"/>
      <c r="F35" s="91"/>
      <c r="G35" s="47"/>
      <c r="H35" s="47"/>
      <c r="I35" s="47"/>
      <c r="J35" s="47"/>
      <c r="K35" s="47"/>
      <c r="L35" s="266" t="s">
        <v>37</v>
      </c>
      <c r="M35" s="232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54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30" t="s">
        <v>38</v>
      </c>
      <c r="M36" s="232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54">
        <f>T36+V36+Y36</f>
        <v>0</v>
      </c>
      <c r="AC36" s="89">
        <f>U36+W36+Z36</f>
        <v>0</v>
      </c>
      <c r="AD36" s="90">
        <f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67" t="s">
        <v>42</v>
      </c>
      <c r="M37" s="233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56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70</v>
      </c>
      <c r="M38" s="115">
        <f>SUM(M32:M37)</f>
        <v>0.40468599999999999</v>
      </c>
      <c r="N38" s="67"/>
      <c r="O38" s="116">
        <f>SUM(O32:O37)</f>
        <v>138.03572354609938</v>
      </c>
      <c r="P38" s="117">
        <f>SUM(P32:P37)</f>
        <v>18.205262591529102</v>
      </c>
      <c r="Q38" s="117">
        <f t="shared" ref="Q38:R38" si="15">SUM(Q32:Q37)</f>
        <v>0</v>
      </c>
      <c r="R38" s="117">
        <f t="shared" si="15"/>
        <v>0</v>
      </c>
      <c r="S38" s="118">
        <f>SUM(S32:S37)</f>
        <v>0</v>
      </c>
      <c r="T38" s="117">
        <f>SUM(T32:T37)</f>
        <v>63.496432831205716</v>
      </c>
      <c r="U38" s="117">
        <f t="shared" ref="U38:X38" si="16">SUM(U32:U37)</f>
        <v>3.6596218861491803</v>
      </c>
      <c r="V38" s="117">
        <f t="shared" si="16"/>
        <v>0</v>
      </c>
      <c r="W38" s="117">
        <f t="shared" si="16"/>
        <v>0</v>
      </c>
      <c r="X38" s="117">
        <f t="shared" si="16"/>
        <v>0</v>
      </c>
      <c r="Y38" s="117">
        <f t="shared" ref="Y38:AD38" si="17">SUM(Y32:Y37)</f>
        <v>0</v>
      </c>
      <c r="Z38" s="117">
        <f t="shared" si="17"/>
        <v>0</v>
      </c>
      <c r="AA38" s="118">
        <f t="shared" si="17"/>
        <v>0</v>
      </c>
      <c r="AB38" s="96">
        <f t="shared" si="17"/>
        <v>63.496432831205716</v>
      </c>
      <c r="AC38" s="96">
        <f t="shared" si="17"/>
        <v>3.6596218861491803</v>
      </c>
      <c r="AD38" s="98">
        <f t="shared" si="17"/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71</v>
      </c>
      <c r="O39" s="116">
        <f>$M$32*O32+$M$33*O33+$M$34*O34+$M$35*O35+$M$36*O36+$M$37*O37</f>
        <v>55.861124818976769</v>
      </c>
      <c r="P39" s="117">
        <f t="shared" ref="P39:S39" si="18">$M$32*P32+$M$33*P33+$M$34*P34+$M$35*P35+$M$36*P36+$M$37*P37</f>
        <v>7.3674148971155464</v>
      </c>
      <c r="Q39" s="117">
        <f t="shared" si="18"/>
        <v>0</v>
      </c>
      <c r="R39" s="117">
        <f t="shared" si="18"/>
        <v>0</v>
      </c>
      <c r="S39" s="118">
        <f t="shared" si="18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87" t="s">
        <v>72</v>
      </c>
      <c r="C41" s="288"/>
      <c r="D41" s="288"/>
      <c r="E41" s="288"/>
      <c r="F41" s="288"/>
      <c r="G41" s="289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84" t="s">
        <v>73</v>
      </c>
      <c r="D42" s="285"/>
      <c r="E42" s="285"/>
      <c r="F42" s="285"/>
      <c r="G42" s="286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18</v>
      </c>
      <c r="C43" s="39" t="s">
        <v>6</v>
      </c>
      <c r="D43" s="39" t="s">
        <v>10</v>
      </c>
      <c r="E43" s="39" t="s">
        <v>13</v>
      </c>
      <c r="F43" s="39" t="s">
        <v>74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59" t="s">
        <v>21</v>
      </c>
      <c r="C44" s="7">
        <f>O32*0.40469</f>
        <v>55.861676961870955</v>
      </c>
      <c r="D44" s="7">
        <f t="shared" ref="D44:D48" si="19">P32*0.40469</f>
        <v>7.3674877181659122</v>
      </c>
      <c r="E44" s="7">
        <f t="shared" ref="E44:E48" si="20">Q32*0.40469</f>
        <v>0</v>
      </c>
      <c r="F44" s="7">
        <f t="shared" ref="F44:F48" si="21">R32*0.40469</f>
        <v>0</v>
      </c>
      <c r="G44" s="7">
        <f t="shared" ref="G44:G48" si="22">S32*0.40469</f>
        <v>0</v>
      </c>
      <c r="H44" s="47"/>
      <c r="I44" s="47"/>
      <c r="J44" s="47"/>
      <c r="K44" s="47"/>
      <c r="N44" s="269" t="s">
        <v>75</v>
      </c>
      <c r="O44" s="270"/>
      <c r="P44" s="270"/>
      <c r="Q44" s="270"/>
      <c r="R44" s="270"/>
      <c r="S44" s="270"/>
      <c r="T44" s="270"/>
      <c r="U44" s="277"/>
      <c r="Y44" s="73"/>
      <c r="AJ44" s="47"/>
      <c r="AK44" s="47"/>
    </row>
    <row r="45" spans="1:37" ht="18" x14ac:dyDescent="0.25">
      <c r="A45" s="47"/>
      <c r="B45" s="259" t="s">
        <v>24</v>
      </c>
      <c r="C45" s="7">
        <f t="shared" ref="C45:C48" si="23">O33*0.40469</f>
        <v>0</v>
      </c>
      <c r="D45" s="7">
        <f t="shared" si="19"/>
        <v>0</v>
      </c>
      <c r="E45" s="7">
        <f t="shared" si="20"/>
        <v>0</v>
      </c>
      <c r="F45" s="7">
        <f t="shared" si="21"/>
        <v>0</v>
      </c>
      <c r="G45" s="7">
        <f t="shared" si="22"/>
        <v>0</v>
      </c>
      <c r="H45" s="47"/>
      <c r="I45" s="47"/>
      <c r="J45" s="47"/>
      <c r="K45" s="47"/>
      <c r="N45" s="230" t="s">
        <v>18</v>
      </c>
      <c r="O45" s="59" t="s">
        <v>76</v>
      </c>
      <c r="P45" s="73" t="s">
        <v>77</v>
      </c>
      <c r="Q45" s="73" t="s">
        <v>78</v>
      </c>
      <c r="R45" s="73" t="s">
        <v>79</v>
      </c>
      <c r="S45" s="119" t="str">
        <f>P13</f>
        <v>NPK</v>
      </c>
      <c r="T45" s="64" t="s">
        <v>80</v>
      </c>
      <c r="U45" s="101" t="s">
        <v>68</v>
      </c>
      <c r="Y45" s="73"/>
      <c r="AJ45" s="47"/>
      <c r="AK45" s="47"/>
    </row>
    <row r="46" spans="1:37" ht="18" x14ac:dyDescent="0.25">
      <c r="A46" s="47"/>
      <c r="B46" s="259" t="s">
        <v>39</v>
      </c>
      <c r="C46" s="7">
        <f t="shared" si="23"/>
        <v>0</v>
      </c>
      <c r="D46" s="7">
        <f t="shared" si="19"/>
        <v>0</v>
      </c>
      <c r="E46" s="7">
        <f t="shared" si="20"/>
        <v>0</v>
      </c>
      <c r="F46" s="7">
        <f t="shared" si="21"/>
        <v>0</v>
      </c>
      <c r="G46" s="7">
        <f t="shared" si="22"/>
        <v>0</v>
      </c>
      <c r="H46" s="47"/>
      <c r="I46" s="47"/>
      <c r="J46" s="47"/>
      <c r="K46" s="47"/>
      <c r="L46" s="120"/>
      <c r="N46" s="234" t="s">
        <v>21</v>
      </c>
      <c r="O46" s="203">
        <f>O32*$T$9</f>
        <v>4141.0717063829816</v>
      </c>
      <c r="P46" s="203">
        <f t="shared" ref="P46:P51" si="24">P32*$T$10</f>
        <v>801.03155402728055</v>
      </c>
      <c r="Q46" s="203">
        <f t="shared" ref="Q46:Q51" si="25">Q32*$T$11</f>
        <v>0</v>
      </c>
      <c r="R46" s="203">
        <f t="shared" ref="R46:R51" si="26">R32*$T$12</f>
        <v>0</v>
      </c>
      <c r="S46" s="203">
        <f t="shared" ref="S46:S51" si="27">S32*$T$13</f>
        <v>0</v>
      </c>
      <c r="T46" s="199">
        <f>SUM(O46:S46)*M32</f>
        <v>2000.0000000423872</v>
      </c>
      <c r="U46" s="50"/>
      <c r="Y46" s="73"/>
      <c r="AJ46" s="47"/>
      <c r="AK46" s="47"/>
    </row>
    <row r="47" spans="1:37" ht="15.75" customHeight="1" x14ac:dyDescent="0.25">
      <c r="A47" s="47"/>
      <c r="B47" s="259" t="s">
        <v>37</v>
      </c>
      <c r="C47" s="7">
        <f t="shared" si="23"/>
        <v>0</v>
      </c>
      <c r="D47" s="7">
        <f t="shared" si="19"/>
        <v>0</v>
      </c>
      <c r="E47" s="7">
        <f t="shared" si="20"/>
        <v>0</v>
      </c>
      <c r="F47" s="7">
        <f t="shared" si="21"/>
        <v>0</v>
      </c>
      <c r="G47" s="7">
        <f t="shared" si="22"/>
        <v>0</v>
      </c>
      <c r="H47" s="47"/>
      <c r="I47" s="47"/>
      <c r="J47" s="47"/>
      <c r="K47" s="47"/>
      <c r="N47" s="230" t="s">
        <v>24</v>
      </c>
      <c r="O47" s="204">
        <f t="shared" ref="O47:O51" si="28">O33*$T$9</f>
        <v>0</v>
      </c>
      <c r="P47" s="204">
        <f t="shared" si="24"/>
        <v>0</v>
      </c>
      <c r="Q47" s="204">
        <f t="shared" si="25"/>
        <v>0</v>
      </c>
      <c r="R47" s="204">
        <f>R33*$T$12</f>
        <v>0</v>
      </c>
      <c r="S47" s="204">
        <f t="shared" si="27"/>
        <v>0</v>
      </c>
      <c r="T47" s="200">
        <f t="shared" ref="T47:T51" si="29">SUM(O47:S47)*M33</f>
        <v>0</v>
      </c>
      <c r="U47" s="121"/>
      <c r="AJ47" s="47"/>
      <c r="AK47" s="47"/>
    </row>
    <row r="48" spans="1:37" ht="18" x14ac:dyDescent="0.25">
      <c r="A48" s="47"/>
      <c r="B48" s="259" t="s">
        <v>38</v>
      </c>
      <c r="C48" s="7">
        <f t="shared" si="23"/>
        <v>0</v>
      </c>
      <c r="D48" s="7">
        <f t="shared" si="19"/>
        <v>0</v>
      </c>
      <c r="E48" s="7">
        <f t="shared" si="20"/>
        <v>0</v>
      </c>
      <c r="F48" s="7">
        <f t="shared" si="21"/>
        <v>0</v>
      </c>
      <c r="G48" s="7">
        <f t="shared" si="22"/>
        <v>0</v>
      </c>
      <c r="H48" s="47"/>
      <c r="I48" s="47"/>
      <c r="J48" s="47"/>
      <c r="K48" s="47"/>
      <c r="N48" s="230" t="s">
        <v>39</v>
      </c>
      <c r="O48" s="204">
        <f t="shared" si="28"/>
        <v>0</v>
      </c>
      <c r="P48" s="204">
        <f t="shared" si="24"/>
        <v>0</v>
      </c>
      <c r="Q48" s="204">
        <f t="shared" si="25"/>
        <v>0</v>
      </c>
      <c r="R48" s="204">
        <f t="shared" si="26"/>
        <v>0</v>
      </c>
      <c r="S48" s="204">
        <f t="shared" si="27"/>
        <v>0</v>
      </c>
      <c r="T48" s="200">
        <f t="shared" si="29"/>
        <v>0</v>
      </c>
      <c r="U48" s="121"/>
      <c r="AJ48" s="47"/>
      <c r="AK48" s="47"/>
    </row>
    <row r="49" spans="1:37" ht="18" x14ac:dyDescent="0.25">
      <c r="A49" s="47"/>
      <c r="B49" s="260" t="s">
        <v>42</v>
      </c>
      <c r="C49" s="7">
        <f>O37*0.40469</f>
        <v>0</v>
      </c>
      <c r="D49" s="7">
        <f>P37*0.40469</f>
        <v>0</v>
      </c>
      <c r="E49" s="7">
        <f>Q37*0.40469</f>
        <v>0</v>
      </c>
      <c r="F49" s="7">
        <f>R37*0.40469</f>
        <v>0</v>
      </c>
      <c r="G49" s="7">
        <f>S37*0.40469</f>
        <v>0</v>
      </c>
      <c r="H49" s="47"/>
      <c r="I49" s="47"/>
      <c r="J49" s="47"/>
      <c r="K49" s="47"/>
      <c r="N49" s="266" t="s">
        <v>37</v>
      </c>
      <c r="O49" s="204">
        <f t="shared" si="28"/>
        <v>0</v>
      </c>
      <c r="P49" s="204">
        <f t="shared" si="24"/>
        <v>0</v>
      </c>
      <c r="Q49" s="204">
        <f t="shared" si="25"/>
        <v>0</v>
      </c>
      <c r="R49" s="204">
        <f t="shared" si="26"/>
        <v>0</v>
      </c>
      <c r="S49" s="204">
        <f t="shared" si="27"/>
        <v>0</v>
      </c>
      <c r="T49" s="200">
        <f t="shared" si="29"/>
        <v>0</v>
      </c>
      <c r="U49" s="121"/>
      <c r="AJ49" s="47"/>
      <c r="AK49" s="47"/>
    </row>
    <row r="50" spans="1:37" ht="18" x14ac:dyDescent="0.25">
      <c r="A50" s="47"/>
      <c r="B50" s="38" t="s">
        <v>71</v>
      </c>
      <c r="C50" s="217">
        <f>O39</f>
        <v>55.861124818976769</v>
      </c>
      <c r="D50" s="217">
        <f>P39</f>
        <v>7.3674148971155464</v>
      </c>
      <c r="E50" s="217">
        <f>Q39</f>
        <v>0</v>
      </c>
      <c r="F50" s="217">
        <f>R39</f>
        <v>0</v>
      </c>
      <c r="G50" s="217">
        <f>S39</f>
        <v>0</v>
      </c>
      <c r="H50" s="47"/>
      <c r="I50" s="47"/>
      <c r="J50" s="47"/>
      <c r="K50" s="47"/>
      <c r="N50" s="230" t="s">
        <v>38</v>
      </c>
      <c r="O50" s="204">
        <f t="shared" si="28"/>
        <v>0</v>
      </c>
      <c r="P50" s="204">
        <f t="shared" si="24"/>
        <v>0</v>
      </c>
      <c r="Q50" s="204">
        <f t="shared" si="25"/>
        <v>0</v>
      </c>
      <c r="R50" s="204">
        <f t="shared" si="26"/>
        <v>0</v>
      </c>
      <c r="S50" s="204">
        <f t="shared" si="27"/>
        <v>0</v>
      </c>
      <c r="T50" s="200">
        <f t="shared" si="29"/>
        <v>0</v>
      </c>
      <c r="U50" s="122"/>
      <c r="W50" s="269" t="s">
        <v>81</v>
      </c>
      <c r="X50" s="271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67" t="s">
        <v>42</v>
      </c>
      <c r="O51" s="204">
        <f t="shared" si="28"/>
        <v>0</v>
      </c>
      <c r="P51" s="204">
        <f t="shared" si="24"/>
        <v>0</v>
      </c>
      <c r="Q51" s="204">
        <f t="shared" si="25"/>
        <v>0</v>
      </c>
      <c r="R51" s="204">
        <f t="shared" si="26"/>
        <v>0</v>
      </c>
      <c r="S51" s="204">
        <f t="shared" si="27"/>
        <v>0</v>
      </c>
      <c r="T51" s="201">
        <f t="shared" si="29"/>
        <v>0</v>
      </c>
      <c r="U51" s="68"/>
      <c r="W51" s="69" t="s">
        <v>82</v>
      </c>
      <c r="X51" s="101" t="s">
        <v>83</v>
      </c>
      <c r="AJ51" s="47"/>
      <c r="AK51" s="47"/>
    </row>
    <row r="52" spans="1:37" ht="18" x14ac:dyDescent="0.25">
      <c r="A52" s="47"/>
      <c r="B52" s="287" t="s">
        <v>84</v>
      </c>
      <c r="C52" s="290"/>
      <c r="D52" s="291"/>
      <c r="E52" s="47"/>
      <c r="F52" s="47"/>
      <c r="G52" s="15"/>
      <c r="H52" s="15"/>
      <c r="I52" s="47"/>
      <c r="J52" s="47"/>
      <c r="K52" s="47"/>
      <c r="N52" s="67" t="s">
        <v>70</v>
      </c>
      <c r="O52" s="205">
        <f>SUM(O46:O51)</f>
        <v>4141.0717063829816</v>
      </c>
      <c r="P52" s="206">
        <f t="shared" ref="P52:S52" si="30">SUM(P46:P51)</f>
        <v>801.03155402728055</v>
      </c>
      <c r="Q52" s="206">
        <f t="shared" si="30"/>
        <v>0</v>
      </c>
      <c r="R52" s="206">
        <f t="shared" si="30"/>
        <v>0</v>
      </c>
      <c r="S52" s="207">
        <f t="shared" si="30"/>
        <v>0</v>
      </c>
      <c r="T52" s="202">
        <f>SUM(T46:T51)</f>
        <v>2000.0000000423872</v>
      </c>
      <c r="U52" s="126">
        <f>C34</f>
        <v>2000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18</v>
      </c>
      <c r="C53" s="44" t="s">
        <v>85</v>
      </c>
      <c r="D53" s="45" t="s">
        <v>86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59" t="s">
        <v>21</v>
      </c>
      <c r="C54" s="218">
        <f>Y60*0.40469</f>
        <v>721.26735671655388</v>
      </c>
      <c r="D54" s="218">
        <f>Z60*0.40469</f>
        <v>34063.348067372259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59" t="s">
        <v>24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59" t="s">
        <v>39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59" t="s">
        <v>37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59" t="s">
        <v>38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69" t="s">
        <v>87</v>
      </c>
      <c r="M58" s="270"/>
      <c r="N58" s="270"/>
      <c r="O58" s="270"/>
      <c r="P58" s="270"/>
      <c r="Q58" s="270"/>
      <c r="R58" s="271"/>
      <c r="S58" s="269" t="s">
        <v>88</v>
      </c>
      <c r="T58" s="270"/>
      <c r="U58" s="270"/>
      <c r="V58" s="270"/>
      <c r="W58" s="269" t="s">
        <v>89</v>
      </c>
      <c r="X58" s="271"/>
      <c r="Y58" s="269" t="s">
        <v>90</v>
      </c>
      <c r="Z58" s="271"/>
      <c r="AJ58" s="47"/>
      <c r="AK58" s="47"/>
    </row>
    <row r="59" spans="1:37" ht="18" x14ac:dyDescent="0.25">
      <c r="A59" s="47"/>
      <c r="B59" s="260" t="s">
        <v>42</v>
      </c>
      <c r="C59" s="219">
        <f>Y73*0.40469</f>
        <v>0</v>
      </c>
      <c r="D59" s="219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91</v>
      </c>
      <c r="M59" s="212" t="s">
        <v>92</v>
      </c>
      <c r="N59" s="213" t="s">
        <v>93</v>
      </c>
      <c r="O59" s="213" t="s">
        <v>94</v>
      </c>
      <c r="P59" s="243" t="s">
        <v>95</v>
      </c>
      <c r="Q59" s="213" t="s">
        <v>96</v>
      </c>
      <c r="R59" s="214" t="s">
        <v>97</v>
      </c>
      <c r="S59" s="55" t="s">
        <v>98</v>
      </c>
      <c r="T59" s="52" t="s">
        <v>99</v>
      </c>
      <c r="U59" s="52" t="s">
        <v>100</v>
      </c>
      <c r="V59" s="52" t="s">
        <v>101</v>
      </c>
      <c r="W59" s="59" t="s">
        <v>82</v>
      </c>
      <c r="X59" s="119" t="s">
        <v>83</v>
      </c>
      <c r="Y59" s="64" t="s">
        <v>85</v>
      </c>
      <c r="Z59" s="132" t="s">
        <v>86</v>
      </c>
      <c r="AJ59" s="47"/>
      <c r="AK59" s="47"/>
    </row>
    <row r="60" spans="1:37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26" t="s">
        <v>102</v>
      </c>
      <c r="M60" s="75">
        <v>3.7109999999999999</v>
      </c>
      <c r="N60" s="75">
        <v>1.823</v>
      </c>
      <c r="O60" s="75">
        <v>0.96</v>
      </c>
      <c r="P60" s="75">
        <f t="shared" ref="P60:P61" si="31">M60-N60</f>
        <v>1.8879999999999999</v>
      </c>
      <c r="Q60" s="87">
        <f>IFERROR((M60-N60*POWER(O60,AB32)-(P60)),0)</f>
        <v>1.6865186818910769</v>
      </c>
      <c r="R60" s="172">
        <f t="shared" ref="R60:R61" si="32">Q60*1000</f>
        <v>1686.518681891077</v>
      </c>
      <c r="S60" s="134">
        <f>R60*N32*M32</f>
        <v>34125.524964988617</v>
      </c>
      <c r="T60" s="134">
        <f>S60+S61+S62</f>
        <v>36063.011381575438</v>
      </c>
      <c r="U60" s="134">
        <f>T46</f>
        <v>2000.0000000423872</v>
      </c>
      <c r="V60" s="134">
        <f>T60-U60</f>
        <v>34063.011381533048</v>
      </c>
      <c r="W60" s="135"/>
      <c r="X60" s="173"/>
      <c r="Y60" s="136">
        <f>R60+R61</f>
        <v>1782.2712612531909</v>
      </c>
      <c r="Z60" s="137">
        <f>IF(OR(M32=0,M32=1),$V$60,IF(M32&lt;1,$V$60/M32,IF(M32&gt;1,$V$60/M32,0)))</f>
        <v>84171.459802249272</v>
      </c>
      <c r="AJ60" s="47"/>
      <c r="AK60" s="47"/>
    </row>
    <row r="61" spans="1:37" ht="18" x14ac:dyDescent="0.25">
      <c r="A61" s="47"/>
      <c r="B61" s="287" t="s">
        <v>103</v>
      </c>
      <c r="C61" s="288"/>
      <c r="D61" s="289"/>
      <c r="E61" s="47"/>
      <c r="F61" s="47"/>
      <c r="G61" s="47"/>
      <c r="H61" s="47"/>
      <c r="I61" s="47"/>
      <c r="J61" s="47"/>
      <c r="K61" s="47"/>
      <c r="L61" s="169" t="s">
        <v>104</v>
      </c>
      <c r="M61" s="75">
        <v>3.91</v>
      </c>
      <c r="N61" s="75">
        <v>0.20300000000000001</v>
      </c>
      <c r="O61" s="75">
        <v>0.84</v>
      </c>
      <c r="P61" s="138">
        <f t="shared" si="31"/>
        <v>3.7070000000000003</v>
      </c>
      <c r="Q61" s="97">
        <f>IFERROR(((M61-N61*POWER(O61,AC32)-(P61))*W61),0)</f>
        <v>9.5752579362113899E-2</v>
      </c>
      <c r="R61" s="190">
        <f t="shared" si="32"/>
        <v>95.752579362113892</v>
      </c>
      <c r="S61" s="74">
        <f>R61*N32*M32</f>
        <v>1937.486416586821</v>
      </c>
      <c r="T61" s="74"/>
      <c r="U61" s="74"/>
      <c r="V61" s="74"/>
      <c r="W61" s="109">
        <f>IF(AB32&lt;$W$52,0,1)</f>
        <v>1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105</v>
      </c>
      <c r="C62" s="292">
        <f>V86</f>
        <v>34063.011381533048</v>
      </c>
      <c r="D62" s="293"/>
      <c r="E62" s="47"/>
      <c r="F62" s="47"/>
      <c r="G62" s="47"/>
      <c r="H62" s="47"/>
      <c r="I62" s="47"/>
      <c r="J62" s="47"/>
      <c r="K62" s="47"/>
      <c r="L62" s="227" t="s">
        <v>106</v>
      </c>
      <c r="M62" s="191">
        <v>0</v>
      </c>
      <c r="N62" s="191">
        <v>0</v>
      </c>
      <c r="O62" s="191">
        <v>0</v>
      </c>
      <c r="P62" s="191">
        <f>M62-N62</f>
        <v>0</v>
      </c>
      <c r="Q62" s="192">
        <f>IFERROR(((M62-N62*POWER(O62,AD32)-(P62))*X62),0)</f>
        <v>0</v>
      </c>
      <c r="R62" s="192">
        <f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ht="15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107</v>
      </c>
      <c r="M63" s="261">
        <v>7.6029999999999998</v>
      </c>
      <c r="N63" s="262">
        <v>1.9530000000000001</v>
      </c>
      <c r="O63" s="263">
        <v>0.91800000000000004</v>
      </c>
      <c r="P63" s="143">
        <f t="shared" ref="P63:P74" si="33">M63-N63</f>
        <v>5.6499999999999995</v>
      </c>
      <c r="Q63" s="81">
        <f>IFERROR((M63-N63*POWER(O63,AB33)-(P63)),0)</f>
        <v>0</v>
      </c>
      <c r="R63" s="179">
        <f t="shared" ref="R63:R70" si="34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ht="15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108</v>
      </c>
      <c r="M64" s="264">
        <v>19.64</v>
      </c>
      <c r="N64" s="265">
        <v>0.68</v>
      </c>
      <c r="O64" s="265">
        <v>0.875</v>
      </c>
      <c r="P64" s="75">
        <f t="shared" si="33"/>
        <v>18.96</v>
      </c>
      <c r="Q64" s="81">
        <f>IFERROR((M64-N64*POWER(O64,AC33)-(P64)),0)</f>
        <v>0</v>
      </c>
      <c r="R64" s="172">
        <f t="shared" si="34"/>
        <v>0</v>
      </c>
      <c r="S64" s="74">
        <f>R64*N33*M33</f>
        <v>0</v>
      </c>
      <c r="T64" s="74"/>
      <c r="U64" s="74"/>
      <c r="V64" s="62"/>
      <c r="W64" s="110" t="s">
        <v>109</v>
      </c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110</v>
      </c>
      <c r="M65" s="170">
        <v>6.85</v>
      </c>
      <c r="N65" s="170">
        <v>1.583</v>
      </c>
      <c r="O65" s="170">
        <v>0.84099999999999997</v>
      </c>
      <c r="P65" s="75">
        <f t="shared" si="33"/>
        <v>5.2669999999999995</v>
      </c>
      <c r="Q65" s="81">
        <f>IFERROR((M65-N65*POWER(O65,AD33)-(P65)),0)</f>
        <v>0</v>
      </c>
      <c r="R65" s="172">
        <f t="shared" si="34"/>
        <v>0</v>
      </c>
      <c r="S65" s="74">
        <f>R65*N33*M33</f>
        <v>0</v>
      </c>
      <c r="T65" s="74"/>
      <c r="U65" s="74"/>
      <c r="V65" s="62"/>
      <c r="W65" s="110"/>
      <c r="X65" s="150" t="s">
        <v>109</v>
      </c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26" t="s">
        <v>111</v>
      </c>
      <c r="M66" s="261">
        <v>2.056</v>
      </c>
      <c r="N66" s="262">
        <v>1.2829999999999999</v>
      </c>
      <c r="O66" s="262">
        <v>0.96699999999999997</v>
      </c>
      <c r="P66" s="127">
        <f t="shared" si="33"/>
        <v>0.77300000000000013</v>
      </c>
      <c r="Q66" s="81">
        <f>IFERROR((M66-N66*POWER(O66,AB34)-(P66)),0)</f>
        <v>0</v>
      </c>
      <c r="R66" s="223">
        <f t="shared" si="34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84"/>
      <c r="X66" s="173"/>
      <c r="Y66" s="135">
        <f>R66+R67</f>
        <v>0</v>
      </c>
      <c r="Z66" s="154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169" t="s">
        <v>112</v>
      </c>
      <c r="M67" s="264">
        <v>2.21</v>
      </c>
      <c r="N67" s="265">
        <v>0.629</v>
      </c>
      <c r="O67" s="265">
        <v>0.82</v>
      </c>
      <c r="P67" s="170">
        <f t="shared" si="33"/>
        <v>1.581</v>
      </c>
      <c r="Q67" s="87">
        <f>IFERROR(((M67-N67*POWER(O67,AC34)-(P67))*W67),0)</f>
        <v>0</v>
      </c>
      <c r="R67" s="172">
        <f t="shared" si="34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8" t="s">
        <v>113</v>
      </c>
      <c r="M68" s="245">
        <v>0</v>
      </c>
      <c r="N68" s="245">
        <v>0</v>
      </c>
      <c r="O68" s="245">
        <v>0</v>
      </c>
      <c r="P68" s="224">
        <f t="shared" si="33"/>
        <v>0</v>
      </c>
      <c r="Q68" s="225">
        <f>IFERROR(((M68-N68*POWER(O68,AD34)-(P68))*X68),0)</f>
        <v>0</v>
      </c>
      <c r="R68" s="190">
        <f t="shared" si="34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0</v>
      </c>
      <c r="Y68" s="141"/>
      <c r="Z68" s="188"/>
      <c r="AJ68" s="47"/>
      <c r="AK68" s="47"/>
    </row>
    <row r="69" spans="1:37" ht="46.5" customHeight="1" x14ac:dyDescent="0.2">
      <c r="A69" s="47"/>
      <c r="B69" s="268" t="s">
        <v>114</v>
      </c>
      <c r="C69" s="268"/>
      <c r="D69" s="268"/>
      <c r="E69" s="268"/>
      <c r="F69" s="268"/>
      <c r="G69" s="268"/>
      <c r="H69" s="268"/>
      <c r="I69" s="268"/>
      <c r="J69" s="28"/>
      <c r="K69" s="28"/>
      <c r="L69" s="229" t="s">
        <v>115</v>
      </c>
      <c r="M69" s="244">
        <v>1.79</v>
      </c>
      <c r="N69" s="244">
        <v>0.98899999999999999</v>
      </c>
      <c r="O69" s="244">
        <v>0.89200000000000002</v>
      </c>
      <c r="P69" s="170">
        <f t="shared" si="33"/>
        <v>0.80100000000000005</v>
      </c>
      <c r="Q69" s="171">
        <f>IFERROR((M69-N69*POWER(O69,AB35)-(P69)),0)</f>
        <v>0</v>
      </c>
      <c r="R69" s="222">
        <f t="shared" si="34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16" t="s">
        <v>116</v>
      </c>
      <c r="M70" s="245">
        <v>1.81</v>
      </c>
      <c r="N70" s="245">
        <v>0.28599999999999998</v>
      </c>
      <c r="O70" s="245">
        <v>0.92600000000000005</v>
      </c>
      <c r="P70" s="138">
        <f t="shared" si="33"/>
        <v>1.524</v>
      </c>
      <c r="Q70" s="97">
        <f>IFERROR(((M70-N70*POWER(O70,AC35)-(P70))*W70),0)</f>
        <v>0</v>
      </c>
      <c r="R70" s="190">
        <f t="shared" si="34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68" t="s">
        <v>117</v>
      </c>
      <c r="C71" s="268"/>
      <c r="D71" s="268"/>
      <c r="E71" s="268"/>
      <c r="F71" s="268"/>
      <c r="G71" s="268"/>
      <c r="H71" s="268"/>
      <c r="I71" s="268"/>
      <c r="J71" s="28"/>
      <c r="K71" s="28"/>
      <c r="L71" s="229" t="s">
        <v>118</v>
      </c>
      <c r="M71" s="246">
        <v>1.6623000000000001</v>
      </c>
      <c r="N71" s="246">
        <v>0.97850000000000004</v>
      </c>
      <c r="O71" s="246">
        <v>0.87949999999999995</v>
      </c>
      <c r="P71" s="170">
        <f t="shared" si="33"/>
        <v>0.68380000000000007</v>
      </c>
      <c r="Q71" s="171">
        <f>IFERROR((M71-N71*POWER(O71,AC36)-(P71)),0)</f>
        <v>0</v>
      </c>
      <c r="R71" s="171">
        <f t="shared" ref="R71:R72" si="35"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28" t="s">
        <v>119</v>
      </c>
      <c r="M72" s="247">
        <v>1.7612000000000001</v>
      </c>
      <c r="N72" s="247">
        <v>9.8900000000000002E-2</v>
      </c>
      <c r="O72" s="247">
        <v>0.9</v>
      </c>
      <c r="P72" s="138">
        <f t="shared" si="33"/>
        <v>1.6623000000000001</v>
      </c>
      <c r="Q72" s="97">
        <f>IFERROR(((M72-N72*POWER(O72,AD36)-(P72))*X72),0)</f>
        <v>0</v>
      </c>
      <c r="R72" s="97">
        <f t="shared" si="35"/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68" t="s">
        <v>120</v>
      </c>
      <c r="C73" s="268"/>
      <c r="D73" s="268"/>
      <c r="E73" s="268"/>
      <c r="F73" s="268"/>
      <c r="G73" s="268"/>
      <c r="H73" s="268"/>
      <c r="I73" s="268"/>
      <c r="J73" s="28"/>
      <c r="K73" s="28"/>
      <c r="L73" s="229" t="s">
        <v>121</v>
      </c>
      <c r="M73" s="248">
        <v>1.792</v>
      </c>
      <c r="N73" s="248">
        <v>0.93700000000000006</v>
      </c>
      <c r="O73" s="248">
        <v>0.89300000000000002</v>
      </c>
      <c r="P73" s="170">
        <f t="shared" si="33"/>
        <v>0.85499999999999998</v>
      </c>
      <c r="Q73" s="171">
        <f>IFERROR((M73-N73*POWER(O73,AC37)-(P73)),0)</f>
        <v>0</v>
      </c>
      <c r="R73" s="171">
        <f t="shared" ref="R73:R74" si="36"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52"/>
      <c r="X73" s="176"/>
      <c r="Y73" s="250">
        <f>R73+R74</f>
        <v>0</v>
      </c>
      <c r="Z73" s="220">
        <f>IF(OR(M37=0,M37=1),$V$73,IF(M37&lt;1,$V$73/M37,IF(M37&gt;1,$V$73/M37,0)))</f>
        <v>0</v>
      </c>
      <c r="AJ73" s="28"/>
      <c r="AK73" s="28"/>
    </row>
    <row r="74" spans="1:37" ht="18" customHeight="1" x14ac:dyDescent="0.2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28" t="s">
        <v>122</v>
      </c>
      <c r="M74" s="249">
        <v>1.72</v>
      </c>
      <c r="N74" s="249">
        <v>0.221</v>
      </c>
      <c r="O74" s="249">
        <v>0.94199999999999995</v>
      </c>
      <c r="P74" s="138">
        <f t="shared" si="33"/>
        <v>1.4989999999999999</v>
      </c>
      <c r="Q74" s="97">
        <f>IFERROR(((M74-N74*POWER(O74,AD37)-(P74))*X74),0)</f>
        <v>0</v>
      </c>
      <c r="R74" s="97">
        <f t="shared" si="36"/>
        <v>0</v>
      </c>
      <c r="S74" s="139">
        <f>R74*N37*M37</f>
        <v>0</v>
      </c>
      <c r="T74" s="138"/>
      <c r="U74" s="221"/>
      <c r="V74" s="221"/>
      <c r="W74" s="149"/>
      <c r="X74" s="150">
        <f>IF(AC37&lt;$X$52,0,1)</f>
        <v>0</v>
      </c>
      <c r="Y74" s="251"/>
      <c r="Z74" s="150"/>
      <c r="AJ74" s="47"/>
      <c r="AK74" s="47"/>
    </row>
    <row r="75" spans="1:37" ht="15" x14ac:dyDescent="0.2">
      <c r="A75" s="47"/>
      <c r="B75" s="268" t="s">
        <v>123</v>
      </c>
      <c r="C75" s="268"/>
      <c r="D75" s="268"/>
      <c r="E75" s="268"/>
      <c r="F75" s="268"/>
      <c r="G75" s="268"/>
      <c r="H75" s="268"/>
      <c r="I75" s="268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124</v>
      </c>
      <c r="U84" s="77"/>
      <c r="V84" s="130"/>
    </row>
    <row r="85" spans="2:24" x14ac:dyDescent="0.2">
      <c r="T85" s="55" t="s">
        <v>125</v>
      </c>
      <c r="U85" s="52" t="s">
        <v>126</v>
      </c>
      <c r="V85" s="53" t="s">
        <v>127</v>
      </c>
    </row>
    <row r="86" spans="2:24" x14ac:dyDescent="0.2">
      <c r="S86" s="159"/>
      <c r="T86" s="123">
        <f>SUM(T60:T74)</f>
        <v>36063.011381575438</v>
      </c>
      <c r="U86" s="124">
        <f>SUM(U60:U74)</f>
        <v>2000.0000000423872</v>
      </c>
      <c r="V86" s="125">
        <f>SUM(V60:V74)</f>
        <v>34063.011381533048</v>
      </c>
      <c r="W86" s="160"/>
      <c r="X86" s="72"/>
    </row>
    <row r="87" spans="2:24" x14ac:dyDescent="0.2">
      <c r="S87" s="159"/>
    </row>
    <row r="88" spans="2:24" x14ac:dyDescent="0.2">
      <c r="I88" s="48" t="s">
        <v>109</v>
      </c>
      <c r="S88" s="120"/>
    </row>
  </sheetData>
  <sheetProtection password="C75C" sheet="1" objects="1" scenarios="1"/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2016-06-02T14:03:00Z</dcterms:modified>
</cp:coreProperties>
</file>