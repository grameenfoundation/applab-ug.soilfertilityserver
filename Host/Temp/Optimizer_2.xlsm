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9200" windowHeight="1176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Q71" i="2" l="1"/>
  <c r="X72" i="2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Q60" i="2" s="1"/>
  <c r="AD37" i="2" l="1"/>
  <c r="AC37" i="2"/>
  <c r="W61" i="2"/>
  <c r="R60" i="2"/>
  <c r="S60" i="2" s="1"/>
  <c r="X62" i="2"/>
  <c r="Q62" i="2" s="1"/>
  <c r="R62" i="2" s="1"/>
  <c r="S62" i="2" s="1"/>
  <c r="T52" i="2"/>
  <c r="AA38" i="2"/>
  <c r="Z38" i="2"/>
  <c r="AB35" i="2"/>
  <c r="AB33" i="2"/>
  <c r="Q63" i="2" s="1"/>
  <c r="AB34" i="2"/>
  <c r="Q66" i="2" s="1"/>
  <c r="AC34" i="2"/>
  <c r="AB37" i="2"/>
  <c r="AC33" i="2"/>
  <c r="Q64" i="2" s="1"/>
  <c r="AC35" i="2"/>
  <c r="V38" i="2"/>
  <c r="U38" i="2"/>
  <c r="X38" i="2"/>
  <c r="W38" i="2"/>
  <c r="Q73" i="2" l="1"/>
  <c r="R73" i="2" s="1"/>
  <c r="X74" i="2"/>
  <c r="Q74" i="2" s="1"/>
  <c r="W70" i="2"/>
  <c r="Q70" i="2" s="1"/>
  <c r="Q69" i="2"/>
  <c r="R69" i="2" s="1"/>
  <c r="S69" i="2" s="1"/>
  <c r="Q61" i="2"/>
  <c r="R61" i="2" s="1"/>
  <c r="R71" i="2"/>
  <c r="X68" i="2"/>
  <c r="Q68" i="2" s="1"/>
  <c r="R66" i="2"/>
  <c r="S66" i="2" s="1"/>
  <c r="R63" i="2"/>
  <c r="S63" i="2" s="1"/>
  <c r="AD38" i="2"/>
  <c r="AB38" i="2"/>
  <c r="AC38" i="2"/>
  <c r="W67" i="2"/>
  <c r="Q67" i="2" s="1"/>
  <c r="S61" i="2" l="1"/>
  <c r="T60" i="2" s="1"/>
  <c r="V60" i="2" s="1"/>
  <c r="Y60" i="2"/>
  <c r="C54" i="2" s="1"/>
  <c r="R74" i="2"/>
  <c r="R72" i="2"/>
  <c r="R68" i="2"/>
  <c r="S68" i="2" s="1"/>
  <c r="R65" i="2"/>
  <c r="S65" i="2" s="1"/>
  <c r="S71" i="2"/>
  <c r="S73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<sst xmlns="http://schemas.openxmlformats.org/spreadsheetml/2006/main" count="188" uniqueCount="136">
  <si>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</si>
  <si>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</si>
  <si>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</si>
  <si>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</si>
  <si>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</si>
  <si>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</si>
  <si>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</si>
  <si>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</si>
  <si>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</si>
  <si>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</si>
  <si>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</si>
  <si>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</si>
  <si>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</si>
  <si>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</si>
  <si>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</si>
  <si>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</si>
  <si>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</si>
  <si>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</si>
  <si>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</si>
  <si>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</si>
  <si>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</si>
  <si>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</si>
  <si>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</si>
  <si>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</si>
  <si>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</si>
  <si>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</si>
  <si>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</si>
  <si>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</si>
  <si>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</si>
  <si>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</si>
  <si>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</si>
  <si>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</si>
  <si>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</si>
  <si>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</si>
  <si>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</si>
  <si>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</si>
  <si>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</si>
  <si>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</si>
  <si>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</si>
  <si>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</si>
  <si>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</si>
  <si>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</si>
  <si>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</si>
  <si>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</si>
  <si>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</si>
  <si>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</si>
  <si>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</si>
  <si>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</si>
  <si>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</si>
  <si>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</si>
  <si>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</si>
  <si>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</si>
  <si>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</si>
  <si>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</si>
  <si>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</si>
  <si>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</si>
  <si>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</si>
  <si>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</si>
  <si>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</si>
  <si>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</si>
  <si>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</si>
  <si>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</si>
  <si>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</si>
  <si>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</si>
  <si>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</si>
  <si>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</si>
  <si>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</si>
  <si>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</si>
  <si>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</si>
  <si>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</si>
  <si>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</si>
  <si>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</si>
  <si>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</si>
  <si>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</si>
  <si>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</si>
  <si>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</si>
  <si>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</si>
  <si>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</si>
  <si>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</si>
  <si>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</si>
  <si>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</si>
  <si>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</si>
  <si>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</si>
  <si>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</si>
  <si>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</si>
  <si>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</si>
  <si>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</si>
  <si>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</si>
  <si>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</si>
  <si>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</si>
  <si>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</si>
  <si>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</si>
  <si>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</si>
  <si>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</si>
  <si>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</si>
  <si>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</si>
  <si>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</si>
  <si>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</si>
  <si>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</si>
  <si>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</si>
  <si>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</si>
  <si>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</si>
  <si>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</si>
  <si>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</si>
  <si>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</si>
  <si>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</si>
  <si>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</si>
  <si>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</si>
  <si>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</si>
  <si>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</si>
  <si>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</si>
  <si>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</si>
  <si>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</si>
  <si>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Beans</t>
  </si>
  <si>
    <t>Maize N</t>
  </si>
  <si>
    <t>Maize P</t>
  </si>
  <si>
    <t>Maize K</t>
  </si>
  <si>
    <t>Banana N</t>
  </si>
  <si>
    <t>Banana P</t>
  </si>
  <si>
    <t>Banana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</si>
  <si>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</si>
  <si>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</si>
  <si>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</si>
  <si>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</si>
  <si>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</si>
  <si>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</si>
  <si>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</si>
  <si>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Wheat</t>
  </si>
  <si>
    <t>Soybeans</t>
  </si>
  <si>
    <t>Groundnuts, unshelled</t>
  </si>
  <si>
    <t>Wheat N</t>
  </si>
  <si>
    <t>Wheat P</t>
  </si>
  <si>
    <t>Wheat K</t>
  </si>
  <si>
    <t>Ac Planted</t>
  </si>
  <si>
    <t>NPK</t>
  </si>
  <si>
    <t>Groundnuts-unshelled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</si>
</sst>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11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5" xfId="0" applyFont="1" applyBorder="1" applyAlignment="1">
      <alignment horizont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18" fillId="0" borderId="0" xfId="0" applyFont="1" applyFill="1" applyBorder="1" applyAlignment="1">
      <alignment horizontal="center" vertical="top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0" fontId="5" fillId="5" borderId="8" xfId="1" applyFont="1" applyFill="1" applyBorder="1" applyAlignment="1">
      <alignment horizontal="left"/>
    </xf>
    <xf numFmtId="0" fontId="5" fillId="0" borderId="6" xfId="1" applyFont="1" applyFill="1" applyBorder="1" applyAlignment="1">
      <alignment horizontal="left"/>
    </xf>
    <xf numFmtId="0" fontId="5" fillId="0" borderId="8" xfId="1" applyFont="1" applyFill="1" applyBorder="1" applyAlignment="1">
      <alignment horizontal="left"/>
    </xf>
    <xf numFmtId="0" fontId="14" fillId="0" borderId="5" xfId="0" applyFont="1" applyBorder="1" applyAlignment="1">
      <alignment horizontal="center"/>
    </xf>
    <xf numFmtId="0" fontId="5" fillId="0" borderId="2" xfId="1" applyFont="1" applyFill="1" applyBorder="1" applyAlignment="1">
      <alignment horizontal="left"/>
    </xf>
    <xf numFmtId="0" fontId="5" fillId="0" borderId="3" xfId="1" applyFont="1" applyFill="1" applyBorder="1" applyAlignment="1">
      <alignment horizontal="left"/>
    </xf>
    <xf numFmtId="0" fontId="14" fillId="0" borderId="10" xfId="0" applyFont="1" applyBorder="1"/>
    <xf numFmtId="0" fontId="5" fillId="0" borderId="1" xfId="1" applyFont="1" applyFill="1" applyBorder="1" applyAlignment="1">
      <alignment horizontal="left"/>
    </xf>
    <xf numFmtId="0" fontId="14" fillId="0" borderId="4" xfId="0" applyFont="1" applyFill="1" applyBorder="1" applyAlignment="1">
      <alignment horizontal="left" vertical="center"/>
    </xf>
    <xf numFmtId="0" fontId="14" fillId="0" borderId="6" xfId="0" applyFont="1" applyFill="1" applyBorder="1" applyAlignment="1"/>
    <xf numFmtId="0" fontId="14" fillId="0" borderId="6" xfId="0" applyFont="1" applyFill="1" applyBorder="1"/>
    <xf numFmtId="0" fontId="14" fillId="0" borderId="4" xfId="0" applyFont="1" applyFill="1" applyBorder="1"/>
    <xf numFmtId="0" fontId="17" fillId="0" borderId="0" xfId="0" applyFon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2" fontId="17" fillId="0" borderId="7" xfId="0" applyNumberFormat="1" applyFont="1" applyFill="1" applyBorder="1" applyAlignment="1">
      <alignment horizontal="center"/>
    </xf>
    <xf numFmtId="0" fontId="17" fillId="0" borderId="15" xfId="0" applyFont="1" applyFill="1" applyBorder="1" applyAlignment="1">
      <alignment horizontal="center"/>
    </xf>
    <xf numFmtId="2" fontId="17" fillId="0" borderId="15" xfId="0" applyNumberFormat="1" applyFont="1" applyFill="1" applyBorder="1" applyAlignment="1">
      <alignment horizontal="center"/>
    </xf>
    <xf numFmtId="2" fontId="17" fillId="0" borderId="9" xfId="0" applyNumberFormat="1" applyFont="1" applyFill="1" applyBorder="1" applyAlignment="1">
      <alignment horizontal="center"/>
    </xf>
    <xf numFmtId="0" fontId="17" fillId="0" borderId="14" xfId="0" applyFont="1" applyFill="1" applyBorder="1" applyAlignment="1">
      <alignment horizontal="center" vertical="center"/>
    </xf>
    <xf numFmtId="2" fontId="17" fillId="0" borderId="14" xfId="0" applyNumberFormat="1" applyFont="1" applyFill="1" applyBorder="1" applyAlignment="1">
      <alignment horizontal="center"/>
    </xf>
    <xf numFmtId="2" fontId="17" fillId="0" borderId="5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/>
    </xf>
    <xf numFmtId="2" fontId="17" fillId="0" borderId="5" xfId="0" applyNumberFormat="1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2" fontId="17" fillId="0" borderId="7" xfId="0" applyNumberFormat="1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2" fontId="17" fillId="3" borderId="15" xfId="0" applyNumberFormat="1" applyFont="1" applyFill="1" applyBorder="1" applyAlignment="1">
      <alignment horizontal="center" vertical="center"/>
    </xf>
    <xf numFmtId="2" fontId="17" fillId="3" borderId="9" xfId="0" applyNumberFormat="1" applyFont="1" applyFill="1" applyBorder="1" applyAlignment="1">
      <alignment horizontal="center" vertical="center"/>
    </xf>
    <xf numFmtId="0" fontId="14" fillId="3" borderId="8" xfId="0" applyFont="1" applyFill="1" applyBorder="1"/>
    <xf numFmtId="0" fontId="18" fillId="3" borderId="8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2" fontId="17" fillId="3" borderId="9" xfId="0" applyNumberFormat="1" applyFont="1" applyFill="1" applyBorder="1" applyAlignment="1">
      <alignment horizontal="center"/>
    </xf>
    <xf numFmtId="3" fontId="14" fillId="3" borderId="15" xfId="0" applyNumberFormat="1" applyFont="1" applyFill="1" applyBorder="1" applyAlignment="1">
      <alignment horizontal="center"/>
    </xf>
    <xf numFmtId="1" fontId="14" fillId="3" borderId="8" xfId="0" applyNumberFormat="1" applyFont="1" applyFill="1" applyBorder="1" applyAlignment="1">
      <alignment horizontal="center"/>
    </xf>
    <xf numFmtId="0" fontId="14" fillId="3" borderId="9" xfId="0" applyFont="1" applyFill="1" applyBorder="1" applyAlignment="1">
      <alignment horizontal="center"/>
    </xf>
    <xf numFmtId="166" fontId="14" fillId="7" borderId="8" xfId="0" applyNumberFormat="1" applyFont="1" applyFill="1" applyBorder="1" applyAlignment="1">
      <alignment horizontal="center"/>
    </xf>
    <xf numFmtId="0" fontId="14" fillId="7" borderId="9" xfId="0" applyFont="1" applyFill="1" applyBorder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CC0000"/>
      <color rgb="FFF00000"/>
      <color rgb="FFDDF456"/>
      <color rgb="FFAAD39F"/>
      <color rgb="FFDCF456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Eastern &gt;1800 m,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92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96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85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86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94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90" zoomScaleNormal="90" workbookViewId="0">
      <selection activeCell="B21" sqref="B21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4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60</v>
      </c>
      <c r="Q8" s="52" t="s">
        <v>18</v>
      </c>
      <c r="R8" s="52" t="s">
        <v>20</v>
      </c>
      <c r="S8" s="53" t="s">
        <v>19</v>
      </c>
      <c r="T8" s="54" t="s">
        <v>34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1">
        <f>IF(OR(D26=0,D26="%"),0,D26*0.437)</f>
        <v>0</v>
      </c>
      <c r="S9" s="162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82</v>
      </c>
      <c r="C10" s="302" t="s">
        <v>91</v>
      </c>
      <c r="D10" s="302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3">
        <f>IF(OR(D27=0,D27="%"),0,D27*0.437)</f>
        <v>0.20102</v>
      </c>
      <c r="S10" s="164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83</v>
      </c>
      <c r="C11" s="302" t="s">
        <v>91</v>
      </c>
      <c r="D11" s="302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3">
        <f>IF(OR(D28=0,D28="%"),0,D28*0.437)</f>
        <v>0.20102</v>
      </c>
      <c r="S11" s="164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84</v>
      </c>
      <c r="C12" s="303">
        <f ca="1">TODAY()</f>
        <v>42522</v>
      </c>
      <c r="D12" s="303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3">
        <f>IF(OR(D29=0,D29="%"),0,D29*0.437)</f>
        <v>0</v>
      </c>
      <c r="S12" s="164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5">
        <f>IF(OR(D30=0,D30="%"),0,D30*0.437)</f>
        <v>7.4290000000000009E-2</v>
      </c>
      <c r="S13" s="166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307" t="s">
        <v>4</v>
      </c>
      <c r="C14" s="308"/>
      <c r="D14" s="309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109</v>
      </c>
      <c r="D15" s="5" t="s">
        <v>101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111</v>
      </c>
      <c r="C16" s="35"/>
      <c r="D16" s="35"/>
      <c r="E16" s="65"/>
      <c r="F16" s="47"/>
      <c r="G16" s="47"/>
      <c r="H16" s="47"/>
      <c r="I16" s="47"/>
      <c r="J16" s="47"/>
      <c r="K16" s="47"/>
      <c r="N16" s="286" t="s">
        <v>30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8"/>
      <c r="Y16" s="286" t="s">
        <v>97</v>
      </c>
      <c r="Z16" s="287"/>
      <c r="AA16" s="288"/>
      <c r="AJ16" s="47"/>
      <c r="AK16" s="47"/>
    </row>
    <row r="17" spans="1:37" ht="18" x14ac:dyDescent="0.25">
      <c r="A17" s="47"/>
      <c r="B17" s="6" t="s">
        <v>112</v>
      </c>
      <c r="C17" s="35"/>
      <c r="D17" s="35"/>
      <c r="E17" s="65"/>
      <c r="F17" s="47"/>
      <c r="G17" s="47"/>
      <c r="H17" s="47"/>
      <c r="I17" s="47"/>
      <c r="J17" s="47"/>
      <c r="K17" s="47"/>
      <c r="N17" s="218" t="s">
        <v>5</v>
      </c>
      <c r="O17" s="59" t="s">
        <v>22</v>
      </c>
      <c r="P17" s="73" t="s">
        <v>23</v>
      </c>
      <c r="Q17" s="73" t="s">
        <v>24</v>
      </c>
      <c r="R17" s="73" t="s">
        <v>25</v>
      </c>
      <c r="S17" s="75" t="str">
        <f>P13&amp;" Min"</f>
        <v>NPK Min</v>
      </c>
      <c r="T17" s="76" t="s">
        <v>26</v>
      </c>
      <c r="U17" s="77" t="s">
        <v>27</v>
      </c>
      <c r="V17" s="77" t="s">
        <v>28</v>
      </c>
      <c r="W17" s="77" t="s">
        <v>29</v>
      </c>
      <c r="X17" s="78" t="str">
        <f>P13&amp;" Max"</f>
        <v>NPK Max</v>
      </c>
      <c r="Y17" s="64" t="s">
        <v>64</v>
      </c>
      <c r="Z17" s="75" t="s">
        <v>65</v>
      </c>
      <c r="AA17" s="53" t="s">
        <v>67</v>
      </c>
      <c r="AJ17" s="47"/>
      <c r="AK17" s="47"/>
    </row>
    <row r="18" spans="1:37" ht="18" x14ac:dyDescent="0.25">
      <c r="A18" s="47"/>
      <c r="B18" s="6" t="s">
        <v>127</v>
      </c>
      <c r="C18" s="35"/>
      <c r="D18" s="35"/>
      <c r="E18" s="47"/>
      <c r="F18" s="47"/>
      <c r="G18" s="47"/>
      <c r="H18" s="47"/>
      <c r="I18" s="47"/>
      <c r="J18" s="47"/>
      <c r="K18" s="47"/>
      <c r="N18" s="240" t="s">
        <v>111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77">
        <v>300</v>
      </c>
      <c r="Z18" s="198">
        <v>60</v>
      </c>
      <c r="AA18" s="84">
        <v>100</v>
      </c>
      <c r="AJ18" s="47"/>
      <c r="AK18" s="47"/>
    </row>
    <row r="19" spans="1:37" ht="18" x14ac:dyDescent="0.25">
      <c r="A19" s="47"/>
      <c r="B19" s="6" t="s">
        <v>113</v>
      </c>
      <c r="C19" s="35"/>
      <c r="D19" s="35"/>
      <c r="E19" s="65"/>
      <c r="F19" s="47"/>
      <c r="G19" s="47"/>
      <c r="H19" s="47"/>
      <c r="I19" s="47"/>
      <c r="J19" s="47"/>
      <c r="K19" s="47"/>
      <c r="N19" s="240" t="s">
        <v>112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128</v>
      </c>
      <c r="C20" s="35"/>
      <c r="D20" s="35"/>
      <c r="E20" s="65"/>
      <c r="F20" s="47"/>
      <c r="G20" s="47"/>
      <c r="H20" s="47"/>
      <c r="I20" s="47"/>
      <c r="J20" s="47"/>
      <c r="K20" s="47"/>
      <c r="N20" s="240" t="s">
        <v>127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37" t="s">
        <v>135</v>
      </c>
      <c r="C21" s="36"/>
      <c r="D21" s="36"/>
      <c r="E21" s="65"/>
      <c r="F21" s="47"/>
      <c r="G21" s="47"/>
      <c r="H21" s="47"/>
      <c r="I21" s="47"/>
      <c r="J21" s="47"/>
      <c r="K21" s="47"/>
      <c r="N21" s="240" t="s">
        <v>113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110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40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47"/>
      <c r="G23" s="47"/>
      <c r="H23" s="47"/>
      <c r="I23" s="47"/>
      <c r="J23" s="47"/>
      <c r="K23" s="47"/>
      <c r="N23" s="241" t="s">
        <v>129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79">
        <v>90</v>
      </c>
      <c r="Z23" s="219">
        <v>40</v>
      </c>
      <c r="AA23" s="100">
        <v>50</v>
      </c>
      <c r="AJ23" s="47"/>
      <c r="AK23" s="47"/>
    </row>
    <row r="24" spans="1:37" ht="18" x14ac:dyDescent="0.25">
      <c r="A24" s="47"/>
      <c r="B24" s="304" t="s">
        <v>6</v>
      </c>
      <c r="C24" s="305"/>
      <c r="D24" s="305"/>
      <c r="E24" s="305"/>
      <c r="F24" s="306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74</v>
      </c>
      <c r="D25" s="20" t="s">
        <v>80</v>
      </c>
      <c r="E25" s="19" t="s">
        <v>81</v>
      </c>
      <c r="F25" s="21" t="s">
        <v>63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59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78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77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76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86" t="s">
        <v>32</v>
      </c>
      <c r="M30" s="287"/>
      <c r="N30" s="288"/>
      <c r="O30" s="289" t="s">
        <v>87</v>
      </c>
      <c r="P30" s="290"/>
      <c r="Q30" s="290"/>
      <c r="R30" s="290"/>
      <c r="S30" s="291"/>
      <c r="T30" s="286" t="s">
        <v>31</v>
      </c>
      <c r="U30" s="287"/>
      <c r="V30" s="287"/>
      <c r="W30" s="287"/>
      <c r="X30" s="287"/>
      <c r="Y30" s="287"/>
      <c r="Z30" s="287"/>
      <c r="AA30" s="287"/>
      <c r="AB30" s="286" t="s">
        <v>66</v>
      </c>
      <c r="AC30" s="287"/>
      <c r="AD30" s="288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17" t="s">
        <v>5</v>
      </c>
      <c r="M31" s="242" t="s">
        <v>133</v>
      </c>
      <c r="N31" s="55" t="s">
        <v>3</v>
      </c>
      <c r="O31" s="102" t="s">
        <v>56</v>
      </c>
      <c r="P31" s="103" t="s">
        <v>88</v>
      </c>
      <c r="Q31" s="103" t="s">
        <v>89</v>
      </c>
      <c r="R31" s="103" t="s">
        <v>90</v>
      </c>
      <c r="S31" s="104" t="str">
        <f>P13&amp;" kg"</f>
        <v>NPK kg</v>
      </c>
      <c r="T31" s="76" t="s">
        <v>35</v>
      </c>
      <c r="U31" s="77" t="s">
        <v>36</v>
      </c>
      <c r="V31" s="77" t="s">
        <v>37</v>
      </c>
      <c r="W31" s="77" t="s">
        <v>38</v>
      </c>
      <c r="X31" s="77" t="s">
        <v>39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64</v>
      </c>
      <c r="AC31" s="75" t="s">
        <v>65</v>
      </c>
      <c r="AD31" s="53" t="s">
        <v>67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5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43" t="s">
        <v>111</v>
      </c>
      <c r="M32" s="214">
        <f>C16*0.404686</f>
        <v>0</v>
      </c>
      <c r="N32" s="181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33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304" t="s">
        <v>9</v>
      </c>
      <c r="C33" s="306"/>
      <c r="D33" s="91"/>
      <c r="E33" s="91"/>
      <c r="F33" s="91"/>
      <c r="G33" s="47"/>
      <c r="H33" s="47"/>
      <c r="I33" s="47"/>
      <c r="J33" s="47"/>
      <c r="K33" s="47"/>
      <c r="L33" s="243" t="s">
        <v>112</v>
      </c>
      <c r="M33" s="215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3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0"/>
      <c r="D34" s="26"/>
      <c r="E34" s="17"/>
      <c r="F34" s="91"/>
      <c r="G34" s="47"/>
      <c r="H34" s="47"/>
      <c r="I34" s="47"/>
      <c r="J34" s="47"/>
      <c r="K34" s="47"/>
      <c r="L34" s="243" t="s">
        <v>127</v>
      </c>
      <c r="M34" s="220">
        <f t="shared" si="5"/>
        <v>0</v>
      </c>
      <c r="N34" s="221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22">
        <v>0</v>
      </c>
      <c r="T34" s="178">
        <f t="shared" si="6"/>
        <v>0</v>
      </c>
      <c r="U34" s="223">
        <f t="shared" si="7"/>
        <v>0</v>
      </c>
      <c r="V34" s="223">
        <f t="shared" si="8"/>
        <v>0</v>
      </c>
      <c r="W34" s="223">
        <f t="shared" si="9"/>
        <v>0</v>
      </c>
      <c r="X34" s="223">
        <f t="shared" si="10"/>
        <v>0</v>
      </c>
      <c r="Y34" s="223">
        <f t="shared" si="11"/>
        <v>0</v>
      </c>
      <c r="Z34" s="223">
        <f t="shared" si="12"/>
        <v>0</v>
      </c>
      <c r="AA34" s="224">
        <f t="shared" si="13"/>
        <v>0</v>
      </c>
      <c r="AB34" s="235">
        <f t="shared" si="4"/>
        <v>0</v>
      </c>
      <c r="AC34" s="225">
        <f t="shared" si="4"/>
        <v>0</v>
      </c>
      <c r="AD34" s="224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5">
      <c r="A35" s="47"/>
      <c r="B35" s="310"/>
      <c r="C35" s="310"/>
      <c r="D35" s="37"/>
      <c r="E35" s="65"/>
      <c r="F35" s="91"/>
      <c r="G35" s="47"/>
      <c r="H35" s="47"/>
      <c r="I35" s="47"/>
      <c r="J35" s="47"/>
      <c r="K35" s="47"/>
      <c r="L35" s="243" t="s">
        <v>113</v>
      </c>
      <c r="M35" s="215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3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43" t="s">
        <v>128</v>
      </c>
      <c r="M36" s="215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34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44" t="s">
        <v>129</v>
      </c>
      <c r="M37" s="216">
        <f t="shared" si="5"/>
        <v>0</v>
      </c>
      <c r="N37" s="197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3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33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102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95" t="s">
        <v>73</v>
      </c>
      <c r="C41" s="296"/>
      <c r="D41" s="296"/>
      <c r="E41" s="296"/>
      <c r="F41" s="296"/>
      <c r="G41" s="297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92" t="s">
        <v>108</v>
      </c>
      <c r="D42" s="293"/>
      <c r="E42" s="293"/>
      <c r="F42" s="293"/>
      <c r="G42" s="294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38" t="s">
        <v>111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86" t="s">
        <v>47</v>
      </c>
      <c r="O44" s="287"/>
      <c r="P44" s="287"/>
      <c r="Q44" s="287"/>
      <c r="R44" s="287"/>
      <c r="S44" s="287"/>
      <c r="T44" s="287"/>
      <c r="U44" s="291"/>
      <c r="Y44" s="73"/>
      <c r="AJ44" s="47"/>
      <c r="AK44" s="47"/>
    </row>
    <row r="45" spans="1:37" ht="18" x14ac:dyDescent="0.25">
      <c r="A45" s="47"/>
      <c r="B45" s="238" t="s">
        <v>112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45" t="s">
        <v>5</v>
      </c>
      <c r="O45" s="59" t="s">
        <v>48</v>
      </c>
      <c r="P45" s="73" t="s">
        <v>49</v>
      </c>
      <c r="Q45" s="73" t="s">
        <v>50</v>
      </c>
      <c r="R45" s="73" t="s">
        <v>51</v>
      </c>
      <c r="S45" s="119" t="str">
        <f>P13</f>
        <v>NPK</v>
      </c>
      <c r="T45" s="64" t="s">
        <v>98</v>
      </c>
      <c r="U45" s="101" t="s">
        <v>9</v>
      </c>
      <c r="Y45" s="73"/>
      <c r="AJ45" s="47"/>
      <c r="AK45" s="47"/>
    </row>
    <row r="46" spans="1:37" ht="18" x14ac:dyDescent="0.25">
      <c r="A46" s="47"/>
      <c r="B46" s="238" t="s">
        <v>127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46" t="s">
        <v>111</v>
      </c>
      <c r="O46" s="192">
        <f>O32*$T$9</f>
        <v>0</v>
      </c>
      <c r="P46" s="192">
        <f t="shared" ref="P46:P51" si="28">P32*$T$10</f>
        <v>0</v>
      </c>
      <c r="Q46" s="192">
        <f t="shared" ref="Q46:Q51" si="29">Q32*$T$11</f>
        <v>0</v>
      </c>
      <c r="R46" s="192">
        <f t="shared" ref="R46:R51" si="30">R32*$T$12</f>
        <v>0</v>
      </c>
      <c r="S46" s="192">
        <f t="shared" ref="S46:S51" si="31">S32*$T$13</f>
        <v>0</v>
      </c>
      <c r="T46" s="188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38" t="s">
        <v>113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243" t="s">
        <v>112</v>
      </c>
      <c r="O47" s="193">
        <f t="shared" ref="O47:O51" si="32">O33*$T$9</f>
        <v>0</v>
      </c>
      <c r="P47" s="193">
        <f t="shared" si="28"/>
        <v>0</v>
      </c>
      <c r="Q47" s="193">
        <f t="shared" si="29"/>
        <v>0</v>
      </c>
      <c r="R47" s="193">
        <f>R33*$T$12</f>
        <v>0</v>
      </c>
      <c r="S47" s="193">
        <f t="shared" si="31"/>
        <v>0</v>
      </c>
      <c r="T47" s="189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38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43" t="s">
        <v>127</v>
      </c>
      <c r="O48" s="193">
        <f t="shared" si="32"/>
        <v>0</v>
      </c>
      <c r="P48" s="193">
        <f t="shared" si="28"/>
        <v>0</v>
      </c>
      <c r="Q48" s="193">
        <f t="shared" si="29"/>
        <v>0</v>
      </c>
      <c r="R48" s="193">
        <f t="shared" si="30"/>
        <v>0</v>
      </c>
      <c r="S48" s="193">
        <f t="shared" si="31"/>
        <v>0</v>
      </c>
      <c r="T48" s="189">
        <f t="shared" si="33"/>
        <v>0</v>
      </c>
      <c r="U48" s="121"/>
      <c r="AJ48" s="47"/>
      <c r="AK48" s="47"/>
    </row>
    <row r="49" spans="1:37" ht="18" x14ac:dyDescent="0.25">
      <c r="A49" s="47"/>
      <c r="B49" s="239" t="s">
        <v>129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243" t="s">
        <v>113</v>
      </c>
      <c r="O49" s="193">
        <f t="shared" si="32"/>
        <v>0</v>
      </c>
      <c r="P49" s="193">
        <f t="shared" si="28"/>
        <v>0</v>
      </c>
      <c r="Q49" s="193">
        <f t="shared" si="29"/>
        <v>0</v>
      </c>
      <c r="R49" s="193">
        <f t="shared" si="30"/>
        <v>0</v>
      </c>
      <c r="S49" s="193">
        <f t="shared" si="31"/>
        <v>0</v>
      </c>
      <c r="T49" s="189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102</v>
      </c>
      <c r="C50" s="205">
        <f>O39</f>
        <v>0</v>
      </c>
      <c r="D50" s="205">
        <f>P39</f>
        <v>0</v>
      </c>
      <c r="E50" s="205">
        <f>Q39</f>
        <v>0</v>
      </c>
      <c r="F50" s="205">
        <f>R39</f>
        <v>0</v>
      </c>
      <c r="G50" s="205">
        <f>S39</f>
        <v>0</v>
      </c>
      <c r="H50" s="47"/>
      <c r="I50" s="47"/>
      <c r="J50" s="47"/>
      <c r="K50" s="47"/>
      <c r="N50" s="243" t="s">
        <v>128</v>
      </c>
      <c r="O50" s="193">
        <f t="shared" si="32"/>
        <v>0</v>
      </c>
      <c r="P50" s="193">
        <f t="shared" si="28"/>
        <v>0</v>
      </c>
      <c r="Q50" s="193">
        <f t="shared" si="29"/>
        <v>0</v>
      </c>
      <c r="R50" s="193">
        <f t="shared" si="30"/>
        <v>0</v>
      </c>
      <c r="S50" s="193">
        <f t="shared" si="31"/>
        <v>0</v>
      </c>
      <c r="T50" s="189">
        <f t="shared" si="33"/>
        <v>0</v>
      </c>
      <c r="U50" s="122"/>
      <c r="W50" s="286" t="s">
        <v>68</v>
      </c>
      <c r="X50" s="288"/>
      <c r="AJ50" s="47"/>
      <c r="AK50" s="47"/>
    </row>
    <row r="51" spans="1:37" ht="18" x14ac:dyDescent="0.25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44" t="s">
        <v>129</v>
      </c>
      <c r="O51" s="193">
        <f t="shared" si="32"/>
        <v>0</v>
      </c>
      <c r="P51" s="193">
        <f t="shared" si="28"/>
        <v>0</v>
      </c>
      <c r="Q51" s="193">
        <f t="shared" si="29"/>
        <v>0</v>
      </c>
      <c r="R51" s="193">
        <f t="shared" si="30"/>
        <v>0</v>
      </c>
      <c r="S51" s="193">
        <f t="shared" si="31"/>
        <v>0</v>
      </c>
      <c r="T51" s="190">
        <f t="shared" si="33"/>
        <v>0</v>
      </c>
      <c r="U51" s="68"/>
      <c r="W51" s="69" t="s">
        <v>61</v>
      </c>
      <c r="X51" s="101" t="s">
        <v>62</v>
      </c>
      <c r="AJ51" s="47"/>
      <c r="AK51" s="47"/>
    </row>
    <row r="52" spans="1:37" ht="18" x14ac:dyDescent="0.25">
      <c r="A52" s="47"/>
      <c r="B52" s="295" t="s">
        <v>107</v>
      </c>
      <c r="C52" s="298"/>
      <c r="D52" s="299"/>
      <c r="E52" s="47"/>
      <c r="F52" s="47"/>
      <c r="G52" s="15"/>
      <c r="H52" s="15"/>
      <c r="I52" s="47"/>
      <c r="J52" s="47"/>
      <c r="K52" s="47"/>
      <c r="N52" s="67" t="s">
        <v>33</v>
      </c>
      <c r="O52" s="194">
        <f>SUM(O46:O51)</f>
        <v>0</v>
      </c>
      <c r="P52" s="195">
        <f t="shared" ref="P52:S52" si="39">SUM(P46:P51)</f>
        <v>0</v>
      </c>
      <c r="Q52" s="195">
        <f t="shared" si="39"/>
        <v>0</v>
      </c>
      <c r="R52" s="195">
        <f t="shared" si="39"/>
        <v>0</v>
      </c>
      <c r="S52" s="196">
        <f t="shared" si="39"/>
        <v>0</v>
      </c>
      <c r="T52" s="191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69</v>
      </c>
      <c r="D53" s="45" t="s">
        <v>42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38" t="s">
        <v>111</v>
      </c>
      <c r="C54" s="206">
        <f>Y60*0.40469</f>
        <v>0</v>
      </c>
      <c r="D54" s="206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38" t="s">
        <v>112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38" t="s">
        <v>127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38" t="s">
        <v>113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38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86" t="s">
        <v>46</v>
      </c>
      <c r="M58" s="287"/>
      <c r="N58" s="287"/>
      <c r="O58" s="287"/>
      <c r="P58" s="287"/>
      <c r="Q58" s="287"/>
      <c r="R58" s="288"/>
      <c r="S58" s="286" t="s">
        <v>44</v>
      </c>
      <c r="T58" s="287"/>
      <c r="U58" s="287"/>
      <c r="V58" s="287"/>
      <c r="W58" s="286" t="s">
        <v>103</v>
      </c>
      <c r="X58" s="288"/>
      <c r="Y58" s="286" t="s">
        <v>104</v>
      </c>
      <c r="Z58" s="288"/>
      <c r="AJ58" s="47"/>
      <c r="AK58" s="47"/>
    </row>
    <row r="59" spans="1:37" ht="18" x14ac:dyDescent="0.25">
      <c r="A59" s="47"/>
      <c r="B59" s="239" t="s">
        <v>129</v>
      </c>
      <c r="C59" s="207">
        <f>Y73*0.40469</f>
        <v>0</v>
      </c>
      <c r="D59" s="207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01" t="s">
        <v>58</v>
      </c>
      <c r="N59" s="202" t="s">
        <v>59</v>
      </c>
      <c r="O59" s="202" t="s">
        <v>126</v>
      </c>
      <c r="P59" s="226" t="s">
        <v>43</v>
      </c>
      <c r="Q59" s="202" t="s">
        <v>57</v>
      </c>
      <c r="R59" s="203" t="s">
        <v>45</v>
      </c>
      <c r="S59" s="55" t="s">
        <v>40</v>
      </c>
      <c r="T59" s="52" t="s">
        <v>41</v>
      </c>
      <c r="U59" s="52" t="s">
        <v>2</v>
      </c>
      <c r="V59" s="52" t="s">
        <v>1</v>
      </c>
      <c r="W59" s="59" t="s">
        <v>61</v>
      </c>
      <c r="X59" s="119" t="s">
        <v>62</v>
      </c>
      <c r="Y59" s="64" t="s">
        <v>69</v>
      </c>
      <c r="Z59" s="132" t="s">
        <v>42</v>
      </c>
      <c r="AJ59" s="47"/>
      <c r="AK59" s="47"/>
    </row>
    <row r="60" spans="1:37" ht="15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10" t="s">
        <v>114</v>
      </c>
      <c r="M60" s="270">
        <v>3.7109999999999999</v>
      </c>
      <c r="N60" s="262">
        <v>1.823</v>
      </c>
      <c r="O60" s="262">
        <v>0.96</v>
      </c>
      <c r="P60" s="262">
        <f t="shared" ref="P60:P61" si="40">M60-N60</f>
        <v>1.8879999999999999</v>
      </c>
      <c r="Q60" s="258">
        <f>IFERROR((M60-N60*POWER(O60,AB32)-(P60)),0)</f>
        <v>0</v>
      </c>
      <c r="R60" s="263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68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95" t="s">
        <v>100</v>
      </c>
      <c r="C61" s="296"/>
      <c r="D61" s="297"/>
      <c r="E61" s="47"/>
      <c r="F61" s="47"/>
      <c r="G61" s="47"/>
      <c r="H61" s="47"/>
      <c r="I61" s="47"/>
      <c r="J61" s="47"/>
      <c r="K61" s="47"/>
      <c r="L61" s="167" t="s">
        <v>115</v>
      </c>
      <c r="M61" s="271">
        <v>3.91</v>
      </c>
      <c r="N61" s="251">
        <v>0.20300000000000001</v>
      </c>
      <c r="O61" s="251">
        <v>0.84</v>
      </c>
      <c r="P61" s="254">
        <f t="shared" si="40"/>
        <v>3.7070000000000003</v>
      </c>
      <c r="Q61" s="255">
        <f>IFERROR(((M61-N61*POWER(O61,AC32)-(P61))*W61),0)</f>
        <v>0</v>
      </c>
      <c r="R61" s="256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6"/>
      <c r="Y61" s="172"/>
      <c r="Z61" s="121"/>
      <c r="AJ61" s="47"/>
      <c r="AK61" s="47"/>
    </row>
    <row r="62" spans="1:37" ht="36" x14ac:dyDescent="0.25">
      <c r="A62" s="47"/>
      <c r="B62" s="10" t="s">
        <v>99</v>
      </c>
      <c r="C62" s="300">
        <f>V86</f>
        <v>0</v>
      </c>
      <c r="D62" s="301"/>
      <c r="E62" s="47"/>
      <c r="F62" s="47"/>
      <c r="G62" s="47"/>
      <c r="H62" s="47"/>
      <c r="I62" s="47"/>
      <c r="J62" s="47"/>
      <c r="K62" s="47"/>
      <c r="L62" s="211" t="s">
        <v>116</v>
      </c>
      <c r="M62" s="272">
        <v>0</v>
      </c>
      <c r="N62" s="273">
        <v>0</v>
      </c>
      <c r="O62" s="273">
        <v>0</v>
      </c>
      <c r="P62" s="273">
        <f t="shared" ref="P62" si="42">M62-N62</f>
        <v>0</v>
      </c>
      <c r="Q62" s="274">
        <f>IFERROR(((M62-N62*POWER(O62,AD32)-(P62))*X62),0)</f>
        <v>0</v>
      </c>
      <c r="R62" s="275">
        <f t="shared" ref="R62" si="43">Q62*1000</f>
        <v>0</v>
      </c>
      <c r="S62" s="182">
        <f>R62*N32*M32</f>
        <v>0</v>
      </c>
      <c r="T62" s="183"/>
      <c r="U62" s="183"/>
      <c r="V62" s="183"/>
      <c r="W62" s="184"/>
      <c r="X62" s="185">
        <f>IF(AC32&lt;$X$52,0,1)</f>
        <v>0</v>
      </c>
      <c r="Y62" s="186"/>
      <c r="Z62" s="187"/>
      <c r="AJ62" s="47"/>
      <c r="AK62" s="47"/>
    </row>
    <row r="63" spans="1:37" ht="15" x14ac:dyDescent="0.2">
      <c r="A63" s="47"/>
      <c r="B63" s="145"/>
      <c r="C63" s="145"/>
      <c r="D63" s="145"/>
      <c r="E63" s="145"/>
      <c r="F63" s="11"/>
      <c r="G63" s="15"/>
      <c r="H63" s="15"/>
      <c r="I63" s="47"/>
      <c r="J63" s="47"/>
      <c r="K63" s="47"/>
      <c r="L63" s="247" t="s">
        <v>117</v>
      </c>
      <c r="M63" s="269">
        <v>7.6029999999999998</v>
      </c>
      <c r="N63" s="257">
        <v>1.9530000000000001</v>
      </c>
      <c r="O63" s="257">
        <v>0.91800000000000004</v>
      </c>
      <c r="P63" s="257">
        <f t="shared" ref="P63:P74" si="44">M63-N63</f>
        <v>5.6499999999999995</v>
      </c>
      <c r="Q63" s="258">
        <f>IFERROR((M63-N63*POWER(O63,AB33)-(P63)),0)</f>
        <v>0</v>
      </c>
      <c r="R63" s="259">
        <f t="shared" ref="R63:R70" si="45">Q63*1000</f>
        <v>0</v>
      </c>
      <c r="S63" s="143">
        <f>R63*N33*M33</f>
        <v>0</v>
      </c>
      <c r="T63" s="143">
        <f>S63+S64+S65</f>
        <v>0</v>
      </c>
      <c r="U63" s="143">
        <f>T47</f>
        <v>0</v>
      </c>
      <c r="V63" s="173">
        <f>T63-U63</f>
        <v>0</v>
      </c>
      <c r="W63" s="176"/>
      <c r="X63" s="144"/>
      <c r="Y63" s="168">
        <f>R63+R64</f>
        <v>0</v>
      </c>
      <c r="Z63" s="152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5"/>
      <c r="C64" s="145"/>
      <c r="D64" s="145"/>
      <c r="E64" s="145"/>
      <c r="F64" s="16"/>
      <c r="G64" s="15"/>
      <c r="H64" s="15"/>
      <c r="I64" s="47"/>
      <c r="J64" s="47"/>
      <c r="K64" s="47"/>
      <c r="L64" s="248" t="s">
        <v>118</v>
      </c>
      <c r="M64" s="260">
        <v>19.64</v>
      </c>
      <c r="N64" s="261">
        <v>0.68</v>
      </c>
      <c r="O64" s="261">
        <v>0.875</v>
      </c>
      <c r="P64" s="251">
        <f t="shared" si="44"/>
        <v>18.96</v>
      </c>
      <c r="Q64" s="252">
        <f>IFERROR((M64-N64*POWER(O64,AC33)-(P64)),0)</f>
        <v>0</v>
      </c>
      <c r="R64" s="253">
        <f t="shared" si="45"/>
        <v>0</v>
      </c>
      <c r="S64" s="74">
        <f>R64*N33*M33</f>
        <v>0</v>
      </c>
      <c r="T64" s="74"/>
      <c r="U64" s="74"/>
      <c r="V64" s="62"/>
      <c r="W64" s="110" t="s">
        <v>93</v>
      </c>
      <c r="X64" s="151"/>
      <c r="Y64" s="156"/>
      <c r="Z64" s="180"/>
      <c r="AJ64" s="47"/>
      <c r="AK64" s="47"/>
    </row>
    <row r="65" spans="1:37" ht="15" x14ac:dyDescent="0.2">
      <c r="A65" s="47"/>
      <c r="B65" s="145"/>
      <c r="C65" s="145"/>
      <c r="D65" s="145"/>
      <c r="E65" s="145"/>
      <c r="F65" s="133"/>
      <c r="G65" s="16"/>
      <c r="H65" s="16"/>
      <c r="I65" s="47"/>
      <c r="J65" s="47"/>
      <c r="K65" s="47"/>
      <c r="L65" s="249" t="s">
        <v>119</v>
      </c>
      <c r="M65" s="260">
        <v>6.85</v>
      </c>
      <c r="N65" s="261">
        <v>1.583</v>
      </c>
      <c r="O65" s="261">
        <v>0.84099999999999997</v>
      </c>
      <c r="P65" s="251">
        <f t="shared" si="44"/>
        <v>5.2669999999999995</v>
      </c>
      <c r="Q65" s="252">
        <f>IFERROR((M65-N65*POWER(O65,AD33)-(P65)),0)</f>
        <v>0</v>
      </c>
      <c r="R65" s="253">
        <f t="shared" si="45"/>
        <v>0</v>
      </c>
      <c r="S65" s="74">
        <f>R65*N33*M33</f>
        <v>0</v>
      </c>
      <c r="T65" s="74"/>
      <c r="U65" s="74"/>
      <c r="V65" s="62"/>
      <c r="W65" s="110"/>
      <c r="X65" s="148" t="s">
        <v>93</v>
      </c>
      <c r="Y65" s="156"/>
      <c r="Z65" s="180"/>
      <c r="AJ65" s="47"/>
      <c r="AK65" s="47"/>
    </row>
    <row r="66" spans="1:37" ht="15" x14ac:dyDescent="0.2">
      <c r="A66" s="47"/>
      <c r="B66" s="145"/>
      <c r="C66" s="145"/>
      <c r="D66" s="145"/>
      <c r="E66" s="145"/>
      <c r="F66" s="133"/>
      <c r="G66" s="145"/>
      <c r="H66" s="145"/>
      <c r="I66" s="47"/>
      <c r="J66" s="47"/>
      <c r="K66" s="47"/>
      <c r="L66" s="250" t="s">
        <v>130</v>
      </c>
      <c r="M66" s="269">
        <v>3.113</v>
      </c>
      <c r="N66" s="257">
        <v>0.56999999999999995</v>
      </c>
      <c r="O66" s="257">
        <v>0.90400000000000003</v>
      </c>
      <c r="P66" s="262">
        <f t="shared" si="44"/>
        <v>2.5430000000000001</v>
      </c>
      <c r="Q66" s="258">
        <f>IFERROR((M66-N66*POWER(O66,AB34)-(P66)),0)</f>
        <v>0</v>
      </c>
      <c r="R66" s="26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77"/>
      <c r="X66" s="168"/>
      <c r="Y66" s="135">
        <f>R66+R67</f>
        <v>0</v>
      </c>
      <c r="Z66" s="152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5"/>
      <c r="C67" s="145"/>
      <c r="D67" s="145"/>
      <c r="E67" s="145"/>
      <c r="F67" s="133"/>
      <c r="G67" s="145"/>
      <c r="H67" s="145"/>
      <c r="I67" s="47"/>
      <c r="J67" s="47"/>
      <c r="K67" s="47"/>
      <c r="L67" s="248" t="s">
        <v>131</v>
      </c>
      <c r="M67" s="260">
        <v>2.6160000000000001</v>
      </c>
      <c r="N67" s="261">
        <v>0.60499999999999998</v>
      </c>
      <c r="O67" s="261">
        <v>0.9</v>
      </c>
      <c r="P67" s="261">
        <f t="shared" si="44"/>
        <v>2.0110000000000001</v>
      </c>
      <c r="Q67" s="252">
        <f>IFERROR(((M67-N67*POWER(O67,AC34)-(P67))*W67),0)</f>
        <v>0</v>
      </c>
      <c r="R67" s="253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6"/>
      <c r="Y67" s="150"/>
      <c r="Z67" s="180"/>
      <c r="AJ67" s="47"/>
      <c r="AK67" s="47"/>
    </row>
    <row r="68" spans="1:37" ht="15.75" x14ac:dyDescent="0.2">
      <c r="A68" s="47"/>
      <c r="B68" s="145"/>
      <c r="C68" s="145"/>
      <c r="D68" s="145"/>
      <c r="E68" s="145"/>
      <c r="F68" s="133"/>
      <c r="G68" s="145"/>
      <c r="H68" s="145"/>
      <c r="I68" s="47"/>
      <c r="J68" s="47"/>
      <c r="K68" s="47"/>
      <c r="L68" s="276" t="s">
        <v>132</v>
      </c>
      <c r="M68" s="277">
        <v>0</v>
      </c>
      <c r="N68" s="278">
        <v>0</v>
      </c>
      <c r="O68" s="278">
        <v>0</v>
      </c>
      <c r="P68" s="273">
        <f t="shared" si="44"/>
        <v>0</v>
      </c>
      <c r="Q68" s="274">
        <f>IFERROR(((M68-N68*POWER(O68,AD34)-(P68))*X68),0)</f>
        <v>0</v>
      </c>
      <c r="R68" s="279">
        <f t="shared" si="45"/>
        <v>0</v>
      </c>
      <c r="S68" s="280">
        <f>R68*N34*M34</f>
        <v>0</v>
      </c>
      <c r="T68" s="280"/>
      <c r="U68" s="280"/>
      <c r="V68" s="280"/>
      <c r="W68" s="281"/>
      <c r="X68" s="282">
        <f>IF(AC34&lt;$X$52,0,1)</f>
        <v>0</v>
      </c>
      <c r="Y68" s="283"/>
      <c r="Z68" s="284"/>
      <c r="AJ68" s="47"/>
      <c r="AK68" s="47"/>
    </row>
    <row r="69" spans="1:37" ht="46.5" customHeight="1" x14ac:dyDescent="0.2">
      <c r="A69" s="47"/>
      <c r="B69" s="285" t="s">
        <v>105</v>
      </c>
      <c r="C69" s="285"/>
      <c r="D69" s="285"/>
      <c r="E69" s="285"/>
      <c r="F69" s="285"/>
      <c r="G69" s="285"/>
      <c r="H69" s="285"/>
      <c r="I69" s="285"/>
      <c r="J69" s="28"/>
      <c r="K69" s="28"/>
      <c r="L69" s="213" t="s">
        <v>120</v>
      </c>
      <c r="M69" s="265">
        <v>1.79</v>
      </c>
      <c r="N69" s="265">
        <v>0.98899999999999999</v>
      </c>
      <c r="O69" s="265">
        <v>0.89200000000000002</v>
      </c>
      <c r="P69" s="261">
        <f t="shared" si="44"/>
        <v>0.80100000000000005</v>
      </c>
      <c r="Q69" s="266">
        <f>IFERROR((M69-N69*POWER(O69,AB35)-(P69)),0)</f>
        <v>0</v>
      </c>
      <c r="R69" s="267">
        <f t="shared" si="45"/>
        <v>0</v>
      </c>
      <c r="S69" s="170">
        <f>R69*N35*M35</f>
        <v>0</v>
      </c>
      <c r="T69" s="170">
        <f>S69+S70</f>
        <v>0</v>
      </c>
      <c r="U69" s="170">
        <f>T49</f>
        <v>0</v>
      </c>
      <c r="V69" s="170">
        <f>T69-U69</f>
        <v>0</v>
      </c>
      <c r="W69" s="178"/>
      <c r="X69" s="171"/>
      <c r="Y69" s="174">
        <f>R69+R70</f>
        <v>0</v>
      </c>
      <c r="Z69" s="175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5"/>
      <c r="C70" s="145"/>
      <c r="D70" s="145"/>
      <c r="E70" s="145"/>
      <c r="F70" s="133"/>
      <c r="G70" s="145"/>
      <c r="H70" s="145"/>
      <c r="I70" s="47"/>
      <c r="J70" s="47"/>
      <c r="K70" s="47"/>
      <c r="L70" s="204" t="s">
        <v>121</v>
      </c>
      <c r="M70" s="264">
        <v>1.81</v>
      </c>
      <c r="N70" s="264">
        <v>0.28599999999999998</v>
      </c>
      <c r="O70" s="264">
        <v>0.92600000000000005</v>
      </c>
      <c r="P70" s="254">
        <f t="shared" si="44"/>
        <v>1.524</v>
      </c>
      <c r="Q70" s="255">
        <f>IFERROR(((M70-N70*POWER(O70,AC35)-(P70))*W70),0)</f>
        <v>0</v>
      </c>
      <c r="R70" s="256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1"/>
      <c r="Y70" s="141"/>
      <c r="Z70" s="146"/>
      <c r="AJ70" s="47"/>
      <c r="AK70" s="47"/>
    </row>
    <row r="71" spans="1:37" ht="30" customHeight="1" x14ac:dyDescent="0.2">
      <c r="A71" s="47"/>
      <c r="B71" s="285" t="s">
        <v>75</v>
      </c>
      <c r="C71" s="285"/>
      <c r="D71" s="285"/>
      <c r="E71" s="285"/>
      <c r="F71" s="285"/>
      <c r="G71" s="285"/>
      <c r="H71" s="285"/>
      <c r="I71" s="285"/>
      <c r="J71" s="28"/>
      <c r="K71" s="28"/>
      <c r="L71" s="213" t="s">
        <v>122</v>
      </c>
      <c r="M71" s="227">
        <v>1.6623000000000001</v>
      </c>
      <c r="N71" s="227">
        <v>0.97850000000000004</v>
      </c>
      <c r="O71" s="227">
        <v>0.87949999999999995</v>
      </c>
      <c r="P71" s="261">
        <f t="shared" si="44"/>
        <v>0.68380000000000007</v>
      </c>
      <c r="Q71" s="266">
        <f>IFERROR((M71-N71*POWER(O71,AC36)-(P71)),0)</f>
        <v>0</v>
      </c>
      <c r="R71" s="266">
        <f t="shared" ref="R71:R72" si="46">Q71*1000</f>
        <v>0</v>
      </c>
      <c r="S71" s="142">
        <f>R71*N36*M36</f>
        <v>0</v>
      </c>
      <c r="T71" s="143">
        <f>S71+S72</f>
        <v>0</v>
      </c>
      <c r="U71" s="143">
        <f>T50</f>
        <v>0</v>
      </c>
      <c r="V71" s="143">
        <f>T71-U71</f>
        <v>0</v>
      </c>
      <c r="W71" s="49"/>
      <c r="X71" s="144"/>
      <c r="Y71" s="199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5"/>
      <c r="C72" s="145"/>
      <c r="D72" s="145"/>
      <c r="E72" s="145"/>
      <c r="F72" s="47"/>
      <c r="G72" s="47"/>
      <c r="H72" s="47"/>
      <c r="I72" s="47"/>
      <c r="J72" s="47"/>
      <c r="K72" s="47"/>
      <c r="L72" s="212" t="s">
        <v>123</v>
      </c>
      <c r="M72" s="268">
        <v>1.7612000000000001</v>
      </c>
      <c r="N72" s="268">
        <v>9.8900000000000002E-2</v>
      </c>
      <c r="O72" s="268">
        <v>0.9</v>
      </c>
      <c r="P72" s="254">
        <f t="shared" si="44"/>
        <v>1.6623000000000001</v>
      </c>
      <c r="Q72" s="255">
        <f>IFERROR(((M72-N72*POWER(O72,AD36)-(P72))*X72),0)</f>
        <v>0</v>
      </c>
      <c r="R72" s="255">
        <f t="shared" si="46"/>
        <v>0</v>
      </c>
      <c r="S72" s="139">
        <f>R72*N36*M36</f>
        <v>0</v>
      </c>
      <c r="T72" s="138"/>
      <c r="U72" s="138"/>
      <c r="V72" s="138"/>
      <c r="W72" s="67"/>
      <c r="X72" s="148">
        <f>IF(AC36&lt;$X$52,0,1)</f>
        <v>0</v>
      </c>
      <c r="Y72" s="200"/>
      <c r="Z72" s="146"/>
      <c r="AJ72" s="47"/>
      <c r="AK72" s="47"/>
    </row>
    <row r="73" spans="1:37" ht="47.25" customHeight="1" x14ac:dyDescent="0.2">
      <c r="A73" s="47"/>
      <c r="B73" s="285" t="s">
        <v>79</v>
      </c>
      <c r="C73" s="285"/>
      <c r="D73" s="285"/>
      <c r="E73" s="285"/>
      <c r="F73" s="285"/>
      <c r="G73" s="285"/>
      <c r="H73" s="285"/>
      <c r="I73" s="285"/>
      <c r="J73" s="28"/>
      <c r="K73" s="28"/>
      <c r="L73" s="213" t="s">
        <v>124</v>
      </c>
      <c r="M73" s="228">
        <v>1.792</v>
      </c>
      <c r="N73" s="228">
        <v>0.93700000000000006</v>
      </c>
      <c r="O73" s="228">
        <v>0.89300000000000002</v>
      </c>
      <c r="P73" s="261">
        <f t="shared" si="44"/>
        <v>0.85499999999999998</v>
      </c>
      <c r="Q73" s="266">
        <f>IFERROR((M73-N73*POWER(O73,AC37)-(P73)),0)</f>
        <v>0</v>
      </c>
      <c r="R73" s="266">
        <f t="shared" ref="R73:R74" si="47">Q73*1000</f>
        <v>0</v>
      </c>
      <c r="S73" s="169">
        <f>R73*N37*M37</f>
        <v>0</v>
      </c>
      <c r="T73" s="170">
        <f>S73+S74</f>
        <v>0</v>
      </c>
      <c r="U73" s="170">
        <f>T51</f>
        <v>0</v>
      </c>
      <c r="V73" s="170">
        <f>T73-U73</f>
        <v>0</v>
      </c>
      <c r="W73" s="232"/>
      <c r="X73" s="171"/>
      <c r="Y73" s="230">
        <f>R73+R74</f>
        <v>0</v>
      </c>
      <c r="Z73" s="208">
        <f>IF(OR(M37=0,M37=1),$V$73,IF(M37&lt;1,$V$73/M37,IF(M37&gt;1,$V$73/M37,0)))</f>
        <v>0</v>
      </c>
      <c r="AJ73" s="28"/>
      <c r="AK73" s="28"/>
    </row>
    <row r="74" spans="1:37" ht="10.5" customHeight="1" x14ac:dyDescent="0.2">
      <c r="A74" s="47"/>
      <c r="B74" s="145"/>
      <c r="C74" s="145"/>
      <c r="D74" s="145"/>
      <c r="E74" s="145"/>
      <c r="F74" s="133"/>
      <c r="G74" s="91"/>
      <c r="H74" s="47"/>
      <c r="I74" s="47"/>
      <c r="J74" s="47"/>
      <c r="K74" s="47"/>
      <c r="L74" s="212" t="s">
        <v>125</v>
      </c>
      <c r="M74" s="229">
        <v>1.72</v>
      </c>
      <c r="N74" s="229">
        <v>0.221</v>
      </c>
      <c r="O74" s="229">
        <v>0.94199999999999995</v>
      </c>
      <c r="P74" s="254">
        <f t="shared" si="44"/>
        <v>1.4989999999999999</v>
      </c>
      <c r="Q74" s="255">
        <f>IFERROR(((M74-N74*POWER(O74,AD37)-(P74))*X74),0)</f>
        <v>0</v>
      </c>
      <c r="R74" s="255">
        <f t="shared" si="47"/>
        <v>0</v>
      </c>
      <c r="S74" s="139">
        <f>R74*N37*M37</f>
        <v>0</v>
      </c>
      <c r="T74" s="138"/>
      <c r="U74" s="209"/>
      <c r="V74" s="209"/>
      <c r="W74" s="147"/>
      <c r="X74" s="148">
        <f>IF(AC37&lt;$X$52,0,1)</f>
        <v>0</v>
      </c>
      <c r="Y74" s="231"/>
      <c r="Z74" s="148"/>
      <c r="AJ74" s="47"/>
      <c r="AK74" s="47"/>
    </row>
    <row r="75" spans="1:37" ht="15" x14ac:dyDescent="0.2">
      <c r="A75" s="47"/>
      <c r="B75" s="285" t="s">
        <v>106</v>
      </c>
      <c r="C75" s="285"/>
      <c r="D75" s="285"/>
      <c r="E75" s="285"/>
      <c r="F75" s="285"/>
      <c r="G75" s="285"/>
      <c r="H75" s="285"/>
      <c r="I75" s="285"/>
      <c r="J75" s="47"/>
      <c r="K75" s="47"/>
      <c r="T75" s="154"/>
      <c r="U75" s="154"/>
      <c r="V75" s="154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3"/>
      <c r="C79" s="153"/>
      <c r="D79" s="153"/>
      <c r="E79" s="153"/>
      <c r="F79" s="153"/>
      <c r="G79" s="153"/>
      <c r="I79" s="154"/>
      <c r="J79" s="154"/>
      <c r="K79" s="154"/>
    </row>
    <row r="80" spans="1:37" x14ac:dyDescent="0.2">
      <c r="B80" s="153"/>
      <c r="C80" s="153"/>
      <c r="D80" s="153"/>
      <c r="E80" s="153"/>
      <c r="F80" s="153"/>
      <c r="G80" s="153"/>
      <c r="I80" s="154"/>
      <c r="J80" s="154"/>
      <c r="K80" s="154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</row>
    <row r="81" spans="2:24" x14ac:dyDescent="0.2">
      <c r="B81" s="154"/>
      <c r="C81" s="154"/>
      <c r="D81" s="154"/>
      <c r="E81" s="154"/>
      <c r="F81" s="154"/>
      <c r="I81" s="154"/>
      <c r="J81" s="154"/>
      <c r="K81" s="154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</row>
    <row r="82" spans="2:24" ht="15" x14ac:dyDescent="0.2">
      <c r="B82" s="154"/>
      <c r="C82" s="154"/>
      <c r="D82" s="154"/>
      <c r="E82" s="154"/>
      <c r="F82" s="154"/>
      <c r="I82" s="154"/>
      <c r="J82" s="154"/>
      <c r="K82" s="154"/>
      <c r="L82" s="155"/>
      <c r="M82" s="149"/>
      <c r="N82" s="149"/>
      <c r="O82" s="149"/>
      <c r="P82" s="75"/>
      <c r="Q82" s="75"/>
      <c r="R82" s="87"/>
      <c r="S82" s="74"/>
      <c r="T82" s="74"/>
      <c r="U82" s="74"/>
      <c r="V82" s="74"/>
      <c r="W82" s="156"/>
      <c r="X82" s="156"/>
    </row>
    <row r="83" spans="2:24" ht="15" x14ac:dyDescent="0.2">
      <c r="B83" s="154"/>
      <c r="C83" s="154"/>
      <c r="D83" s="154"/>
      <c r="E83" s="154"/>
      <c r="F83" s="154"/>
      <c r="I83" s="154"/>
      <c r="J83" s="154"/>
      <c r="K83" s="154"/>
      <c r="L83" s="155"/>
      <c r="M83" s="149"/>
      <c r="N83" s="149"/>
      <c r="O83" s="149"/>
      <c r="P83" s="75"/>
      <c r="Q83" s="75"/>
      <c r="R83" s="87"/>
      <c r="S83" s="74"/>
      <c r="T83" s="74"/>
      <c r="U83" s="74"/>
      <c r="V83" s="74"/>
      <c r="W83" s="156"/>
      <c r="X83" s="156"/>
    </row>
    <row r="84" spans="2:24" x14ac:dyDescent="0.2">
      <c r="B84" s="154"/>
      <c r="C84" s="154"/>
      <c r="D84" s="154"/>
      <c r="E84" s="154"/>
      <c r="F84" s="154"/>
      <c r="I84" s="154"/>
      <c r="J84" s="154"/>
      <c r="K84" s="154"/>
      <c r="T84" s="76" t="s">
        <v>52</v>
      </c>
      <c r="U84" s="77"/>
      <c r="V84" s="130"/>
    </row>
    <row r="85" spans="2:24" x14ac:dyDescent="0.2">
      <c r="T85" s="55" t="s">
        <v>53</v>
      </c>
      <c r="U85" s="52" t="s">
        <v>54</v>
      </c>
      <c r="V85" s="53" t="s">
        <v>55</v>
      </c>
    </row>
    <row r="86" spans="2:24" x14ac:dyDescent="0.2">
      <c r="S86" s="157"/>
      <c r="T86" s="123">
        <f>SUM(T60:T74)</f>
        <v>0</v>
      </c>
      <c r="U86" s="124">
        <f>SUM(U60:U74)</f>
        <v>0</v>
      </c>
      <c r="V86" s="125">
        <f>SUM(V60:V74)</f>
        <v>0</v>
      </c>
      <c r="W86" s="158"/>
      <c r="X86" s="72"/>
    </row>
    <row r="87" spans="2:24" x14ac:dyDescent="0.2">
      <c r="S87" s="157"/>
    </row>
    <row r="88" spans="2:24" x14ac:dyDescent="0.2">
      <c r="I88" s="48" t="s">
        <v>93</v>
      </c>
      <c r="S88" s="120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2016-06-01T17:20:20Z</dcterms:modified>
</cp:coreProperties>
</file>