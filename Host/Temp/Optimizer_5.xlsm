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14370" windowHeight="7980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V23" i="2" l="1"/>
  <c r="P71" i="2"/>
  <c r="P73" i="2"/>
  <c r="G49" i="2" l="1"/>
  <c r="F49" i="2"/>
  <c r="E49" i="2"/>
  <c r="D49" i="2"/>
  <c r="C49" i="2"/>
  <c r="X23" i="2"/>
  <c r="W23" i="2"/>
  <c r="U23" i="2"/>
  <c r="T23" i="2"/>
  <c r="T18" i="2" l="1"/>
  <c r="X20" i="2"/>
  <c r="X19" i="2"/>
  <c r="X18" i="2"/>
  <c r="W20" i="2"/>
  <c r="W19" i="2"/>
  <c r="W18" i="2"/>
  <c r="V20" i="2"/>
  <c r="V19" i="2"/>
  <c r="V18" i="2"/>
  <c r="U20" i="2"/>
  <c r="U19" i="2"/>
  <c r="U18" i="2"/>
  <c r="T22" i="2"/>
  <c r="T21" i="2"/>
  <c r="T20" i="2"/>
  <c r="T19" i="2"/>
  <c r="U21" i="2"/>
  <c r="G48" i="2" l="1"/>
  <c r="G47" i="2"/>
  <c r="G46" i="2"/>
  <c r="G45" i="2"/>
  <c r="G44" i="2"/>
  <c r="F48" i="2"/>
  <c r="F47" i="2"/>
  <c r="F46" i="2"/>
  <c r="F45" i="2"/>
  <c r="F44" i="2"/>
  <c r="E48" i="2"/>
  <c r="E47" i="2"/>
  <c r="E46" i="2"/>
  <c r="E45" i="2"/>
  <c r="E44" i="2"/>
  <c r="D48" i="2"/>
  <c r="D47" i="2"/>
  <c r="D46" i="2"/>
  <c r="D45" i="2"/>
  <c r="D44" i="2"/>
  <c r="C48" i="2"/>
  <c r="C47" i="2"/>
  <c r="C46" i="2"/>
  <c r="C45" i="2"/>
  <c r="C44" i="2"/>
  <c r="M33" i="2" l="1"/>
  <c r="M34" i="2"/>
  <c r="M35" i="2"/>
  <c r="M36" i="2"/>
  <c r="M37" i="2"/>
  <c r="M32" i="2"/>
  <c r="W21" i="2"/>
  <c r="W22" i="2"/>
  <c r="V22" i="2"/>
  <c r="V21" i="2"/>
  <c r="U22" i="2"/>
  <c r="P68" i="2" l="1"/>
  <c r="P65" i="2"/>
  <c r="P62" i="2"/>
  <c r="S13" i="2" l="1"/>
  <c r="S12" i="2"/>
  <c r="S11" i="2"/>
  <c r="S10" i="2"/>
  <c r="S9" i="2"/>
  <c r="R9" i="2"/>
  <c r="R12" i="2"/>
  <c r="R13" i="2"/>
  <c r="R11" i="2"/>
  <c r="W37" i="2" s="1"/>
  <c r="R10" i="2"/>
  <c r="Q9" i="2"/>
  <c r="T37" i="2" s="1"/>
  <c r="Q10" i="2" l="1"/>
  <c r="Q11" i="2"/>
  <c r="V36" i="2" s="1"/>
  <c r="Q12" i="2"/>
  <c r="Q13" i="2"/>
  <c r="P60" i="2" l="1"/>
  <c r="P61" i="2"/>
  <c r="O38" i="2"/>
  <c r="P38" i="2"/>
  <c r="S38" i="2"/>
  <c r="X22" i="2"/>
  <c r="X21" i="2"/>
  <c r="G43" i="2"/>
  <c r="C22" i="2"/>
  <c r="P74" i="2" l="1"/>
  <c r="P72" i="2"/>
  <c r="Q38" i="2"/>
  <c r="R38" i="2"/>
  <c r="C12" i="2" l="1"/>
  <c r="T13" i="2"/>
  <c r="N13" i="2"/>
  <c r="P13" i="2" s="1"/>
  <c r="T9" i="2"/>
  <c r="O46" i="2" s="1"/>
  <c r="AA36" i="2" l="1"/>
  <c r="Z36" i="2"/>
  <c r="Y36" i="2"/>
  <c r="X36" i="2"/>
  <c r="W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R47" i="2" s="1"/>
  <c r="N33" i="2"/>
  <c r="N34" i="2"/>
  <c r="N35" i="2"/>
  <c r="N36" i="2"/>
  <c r="N37" i="2"/>
  <c r="N32" i="2"/>
  <c r="U52" i="2"/>
  <c r="AD33" i="2" l="1"/>
  <c r="AC33" i="2"/>
  <c r="AB36" i="2"/>
  <c r="Q71" i="2" s="1"/>
  <c r="R71" i="2" s="1"/>
  <c r="AC36" i="2"/>
  <c r="AD36" i="2"/>
  <c r="O52" i="2"/>
  <c r="S52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70" i="2"/>
  <c r="P69" i="2"/>
  <c r="P67" i="2"/>
  <c r="P66" i="2"/>
  <c r="X72" i="2" l="1"/>
  <c r="Q72" i="2" s="1"/>
  <c r="T46" i="2"/>
  <c r="U60" i="2" s="1"/>
  <c r="T49" i="2"/>
  <c r="U69" i="2" s="1"/>
  <c r="T50" i="2"/>
  <c r="U71" i="2" s="1"/>
  <c r="T48" i="2"/>
  <c r="U66" i="2" s="1"/>
  <c r="T47" i="2"/>
  <c r="U63" i="2" s="1"/>
  <c r="Q52" i="2"/>
  <c r="P52" i="2"/>
  <c r="R52" i="2"/>
  <c r="P63" i="2"/>
  <c r="P64" i="2"/>
  <c r="Q64" i="2" s="1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U37" i="2"/>
  <c r="Z37" i="2"/>
  <c r="X37" i="2"/>
  <c r="V37" i="2"/>
  <c r="T38" i="2"/>
  <c r="T51" i="2"/>
  <c r="U73" i="2" s="1"/>
  <c r="U86" i="2" s="1"/>
  <c r="M38" i="2"/>
  <c r="AD35" i="2"/>
  <c r="AD34" i="2"/>
  <c r="Q65" i="2"/>
  <c r="AD32" i="2"/>
  <c r="AC32" i="2"/>
  <c r="AB32" i="2"/>
  <c r="W61" i="2" l="1"/>
  <c r="Q61" i="2" s="1"/>
  <c r="R61" i="2" s="1"/>
  <c r="Q60" i="2"/>
  <c r="R60" i="2" s="1"/>
  <c r="S60" i="2" s="1"/>
  <c r="AD37" i="2"/>
  <c r="AC37" i="2"/>
  <c r="Q73" i="2" s="1"/>
  <c r="R73" i="2" s="1"/>
  <c r="X62" i="2"/>
  <c r="Q62" i="2" s="1"/>
  <c r="R62" i="2" s="1"/>
  <c r="S62" i="2" s="1"/>
  <c r="T52" i="2"/>
  <c r="AA38" i="2"/>
  <c r="Z38" i="2"/>
  <c r="AB35" i="2"/>
  <c r="AB33" i="2"/>
  <c r="Q63" i="2" s="1"/>
  <c r="AB34" i="2"/>
  <c r="AC34" i="2"/>
  <c r="AB37" i="2"/>
  <c r="AC35" i="2"/>
  <c r="V38" i="2"/>
  <c r="U38" i="2"/>
  <c r="X38" i="2"/>
  <c r="W38" i="2"/>
  <c r="X68" i="2" l="1"/>
  <c r="Q68" i="2" s="1"/>
  <c r="W70" i="2"/>
  <c r="Q70" i="2" s="1"/>
  <c r="Q69" i="2"/>
  <c r="R69" i="2" s="1"/>
  <c r="S69" i="2" s="1"/>
  <c r="W67" i="2"/>
  <c r="Q67" i="2" s="1"/>
  <c r="Q66" i="2"/>
  <c r="R66" i="2" s="1"/>
  <c r="S66" i="2" s="1"/>
  <c r="X74" i="2"/>
  <c r="Q74" i="2" s="1"/>
  <c r="R63" i="2"/>
  <c r="Y60" i="2"/>
  <c r="C54" i="2" s="1"/>
  <c r="AD38" i="2"/>
  <c r="S61" i="2"/>
  <c r="T60" i="2" s="1"/>
  <c r="AB38" i="2"/>
  <c r="AC38" i="2"/>
  <c r="S63" i="2" l="1"/>
  <c r="R74" i="2"/>
  <c r="R72" i="2"/>
  <c r="R68" i="2"/>
  <c r="S68" i="2" s="1"/>
  <c r="R65" i="2"/>
  <c r="S65" i="2" s="1"/>
  <c r="S71" i="2"/>
  <c r="S73" i="2"/>
  <c r="V60" i="2"/>
  <c r="R70" i="2"/>
  <c r="Y69" i="2" s="1"/>
  <c r="C57" i="2" s="1"/>
  <c r="R67" i="2"/>
  <c r="Y66" i="2" s="1"/>
  <c r="C56" i="2" s="1"/>
  <c r="R64" i="2"/>
  <c r="Y63" i="2" l="1"/>
  <c r="C55" i="2" s="1"/>
  <c r="S74" i="2"/>
  <c r="T73" i="2" s="1"/>
  <c r="V73" i="2" s="1"/>
  <c r="Z73" i="2" s="1"/>
  <c r="D59" i="2" s="1"/>
  <c r="Y73" i="2"/>
  <c r="C59" i="2" s="1"/>
  <c r="S72" i="2"/>
  <c r="T71" i="2" s="1"/>
  <c r="V71" i="2" s="1"/>
  <c r="Z71" i="2" s="1"/>
  <c r="D58" i="2" s="1"/>
  <c r="Y71" i="2"/>
  <c r="C58" i="2" s="1"/>
  <c r="Z60" i="2"/>
  <c r="D54" i="2" s="1"/>
  <c r="S70" i="2"/>
  <c r="S67" i="2"/>
  <c r="S64" i="2"/>
  <c r="T63" i="2" s="1"/>
  <c r="V63" i="2" s="1"/>
  <c r="Z63" i="2" s="1"/>
  <c r="D55" i="2" l="1"/>
  <c r="T66" i="2"/>
  <c r="V66" i="2" s="1"/>
  <c r="Z66" i="2" s="1"/>
  <c r="D56" i="2" s="1"/>
  <c r="T69" i="2"/>
  <c r="V69" i="2" s="1"/>
  <c r="V86" i="2" l="1"/>
  <c r="C62" i="2" s="1"/>
  <c r="Z69" i="2"/>
  <c r="D57" i="2" s="1"/>
  <c r="T8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<sst xmlns="http://schemas.openxmlformats.org/spreadsheetml/2006/main" count="186" uniqueCount="137">
  <si>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</si>
  <si>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</si>
  <si>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</si>
  <si>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</si>
  <si>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</si>
  <si>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</si>
  <si>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</si>
  <si>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</si>
  <si>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</si>
  <si>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</si>
  <si>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</si>
  <si>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</si>
  <si>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</si>
  <si>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</si>
  <si>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</si>
  <si>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</si>
  <si>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</si>
  <si>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</si>
  <si>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</si>
  <si>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</si>
  <si>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</si>
  <si>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</si>
  <si>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</si>
  <si>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</si>
  <si>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</si>
  <si>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</si>
  <si>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</si>
  <si>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</si>
  <si>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</si>
  <si>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</si>
  <si>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</si>
  <si>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</si>
  <si>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</si>
  <si>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</si>
  <si>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</si>
  <si>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</si>
  <si>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</si>
  <si>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</si>
  <si>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</si>
  <si>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</si>
  <si>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</si>
  <si>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</si>
  <si>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</si>
  <si>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</si>
  <si>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</si>
  <si>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</si>
  <si>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</si>
  <si>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</si>
  <si>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</si>
  <si>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</si>
  <si>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</si>
  <si>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</si>
  <si>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</si>
  <si>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</si>
  <si>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</si>
  <si>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</si>
  <si>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</si>
  <si>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</si>
  <si>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</si>
  <si>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</si>
  <si>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</si>
  <si>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</si>
  <si>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</si>
  <si>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</si>
  <si>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</si>
  <si>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</si>
  <si>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</si>
  <si>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</si>
  <si>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</si>
  <si>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</si>
  <si>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</si>
  <si>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</si>
  <si>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</si>
  <si>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</si>
  <si>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</si>
  <si>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</si>
  <si>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</si>
  <si>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</si>
  <si>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</si>
  <si>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</si>
  <si>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</si>
  <si>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</si>
  <si>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</si>
  <si>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</si>
  <si>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</si>
  <si>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</si>
  <si>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</si>
  <si>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</si>
  <si>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</si>
  <si>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</si>
  <si>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</si>
  <si>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</si>
  <si>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</si>
  <si>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</si>
  <si>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</si>
  <si>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</si>
  <si>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</si>
  <si>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</si>
  <si>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</si>
  <si>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</si>
  <si>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</si>
  <si>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</si>
  <si>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</si>
  <si>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</si>
  <si>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</si>
  <si>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</si>
  <si>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</si>
  <si>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</si>
  <si>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Expected Average Effects per Ac</t>
  </si>
  <si>
    <t>Application Rate - kg/Ac</t>
  </si>
  <si>
    <t>Area Planted 
(acres)</t>
  </si>
  <si>
    <t>Total acres</t>
  </si>
  <si>
    <t>Maize</t>
  </si>
  <si>
    <t>Banana</t>
  </si>
  <si>
    <t>Irish potato</t>
  </si>
  <si>
    <t>Beans</t>
  </si>
  <si>
    <t>Maize N</t>
  </si>
  <si>
    <t>Maize P</t>
  </si>
  <si>
    <t>Maize K</t>
  </si>
  <si>
    <t>Banana N</t>
  </si>
  <si>
    <t>Banana P</t>
  </si>
  <si>
    <t>Banana K</t>
  </si>
  <si>
    <t>Irish potato N</t>
  </si>
  <si>
    <t>Irish potato P</t>
  </si>
  <si>
    <t>Irish potato K</t>
  </si>
  <si>
    <t xml:space="preserve">Beans N </t>
  </si>
  <si>
    <t>Beans P</t>
  </si>
  <si>
    <t>Coefficient 3</t>
  </si>
  <si>
    <t>Fingermillet</t>
  </si>
  <si>
    <t>Finger millet N</t>
  </si>
  <si>
    <t>Finger millet P</t>
  </si>
  <si>
    <t>NPK</t>
  </si>
  <si>
    <t>Soybean</t>
  </si>
  <si>
    <t>Soybean P</t>
  </si>
  <si>
    <t>Soybean K</t>
  </si>
  <si>
    <t>Irish Potato</t>
  </si>
  <si>
    <t>Soybeans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</si>
</sst>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98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0" fontId="14" fillId="0" borderId="3" xfId="0" applyFont="1" applyBorder="1" applyAlignment="1">
      <alignment horizontal="center"/>
    </xf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3" fontId="14" fillId="0" borderId="9" xfId="0" quotePrefix="1" applyNumberFormat="1" applyFont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right" vertic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14" fillId="0" borderId="2" xfId="0" applyFont="1" applyFill="1" applyBorder="1" applyAlignment="1"/>
    <xf numFmtId="0" fontId="14" fillId="0" borderId="0" xfId="0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center" vertical="center"/>
    </xf>
    <xf numFmtId="2" fontId="14" fillId="0" borderId="7" xfId="0" applyNumberFormat="1" applyFont="1" applyFill="1" applyBorder="1" applyAlignment="1">
      <alignment horizontal="center"/>
    </xf>
    <xf numFmtId="166" fontId="14" fillId="0" borderId="14" xfId="0" applyNumberFormat="1" applyFont="1" applyFill="1" applyBorder="1" applyAlignment="1">
      <alignment horizontal="center"/>
    </xf>
    <xf numFmtId="3" fontId="14" fillId="0" borderId="6" xfId="0" applyNumberFormat="1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166" fontId="14" fillId="0" borderId="7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166" fontId="14" fillId="0" borderId="6" xfId="0" applyNumberFormat="1" applyFont="1" applyBorder="1" applyAlignment="1">
      <alignment horizontal="center" vertical="center"/>
    </xf>
    <xf numFmtId="3" fontId="14" fillId="0" borderId="7" xfId="0" quotePrefix="1" applyNumberFormat="1" applyFont="1" applyBorder="1" applyAlignment="1">
      <alignment horizontal="center" vertical="center"/>
    </xf>
    <xf numFmtId="1" fontId="14" fillId="0" borderId="14" xfId="0" applyNumberFormat="1" applyFont="1" applyFill="1" applyBorder="1" applyAlignment="1">
      <alignment horizontal="center" vertical="center"/>
    </xf>
    <xf numFmtId="1" fontId="14" fillId="0" borderId="4" xfId="0" applyNumberFormat="1" applyFont="1" applyFill="1" applyBorder="1" applyAlignment="1">
      <alignment horizontal="center"/>
    </xf>
    <xf numFmtId="1" fontId="14" fillId="0" borderId="6" xfId="0" applyNumberFormat="1" applyFont="1" applyFill="1" applyBorder="1" applyAlignment="1">
      <alignment horizontal="center" vertical="center"/>
    </xf>
    <xf numFmtId="1" fontId="14" fillId="0" borderId="8" xfId="0" applyNumberFormat="1" applyFont="1" applyFill="1" applyBorder="1" applyAlignment="1">
      <alignment horizontal="center"/>
    </xf>
    <xf numFmtId="0" fontId="14" fillId="0" borderId="7" xfId="0" applyFont="1" applyFill="1" applyBorder="1"/>
    <xf numFmtId="0" fontId="14" fillId="0" borderId="9" xfId="0" applyFont="1" applyFill="1" applyBorder="1"/>
    <xf numFmtId="0" fontId="14" fillId="0" borderId="5" xfId="0" applyFont="1" applyBorder="1" applyAlignment="1">
      <alignment horizontal="center"/>
    </xf>
    <xf numFmtId="2" fontId="14" fillId="0" borderId="9" xfId="0" applyNumberFormat="1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2" fontId="14" fillId="3" borderId="0" xfId="0" applyNumberFormat="1" applyFont="1" applyFill="1" applyBorder="1" applyAlignment="1">
      <alignment horizontal="center" vertical="center"/>
    </xf>
    <xf numFmtId="3" fontId="14" fillId="3" borderId="6" xfId="0" applyNumberFormat="1" applyFont="1" applyFill="1" applyBorder="1" applyAlignment="1">
      <alignment horizontal="center" vertical="center"/>
    </xf>
    <xf numFmtId="3" fontId="14" fillId="3" borderId="0" xfId="0" applyNumberFormat="1" applyFont="1" applyFill="1" applyBorder="1" applyAlignment="1">
      <alignment horizontal="center" vertical="center"/>
    </xf>
    <xf numFmtId="1" fontId="14" fillId="3" borderId="6" xfId="0" applyNumberFormat="1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6" fontId="14" fillId="3" borderId="6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4" fontId="14" fillId="0" borderId="1" xfId="0" applyNumberFormat="1" applyFont="1" applyBorder="1" applyAlignment="1">
      <alignment horizontal="center"/>
    </xf>
    <xf numFmtId="4" fontId="14" fillId="0" borderId="2" xfId="0" applyNumberFormat="1" applyFont="1" applyBorder="1" applyAlignment="1">
      <alignment horizontal="center"/>
    </xf>
    <xf numFmtId="4" fontId="14" fillId="0" borderId="3" xfId="0" applyNumberFormat="1" applyFont="1" applyBorder="1" applyAlignment="1">
      <alignment horizontal="center"/>
    </xf>
    <xf numFmtId="4" fontId="14" fillId="0" borderId="9" xfId="0" applyNumberFormat="1" applyFont="1" applyBorder="1" applyAlignment="1">
      <alignment horizontal="center"/>
    </xf>
    <xf numFmtId="4" fontId="14" fillId="0" borderId="14" xfId="0" applyNumberFormat="1" applyFont="1" applyBorder="1" applyAlignment="1">
      <alignment horizontal="center"/>
    </xf>
    <xf numFmtId="4" fontId="14" fillId="0" borderId="0" xfId="0" applyNumberFormat="1" applyFont="1" applyBorder="1" applyAlignment="1">
      <alignment horizontal="center"/>
    </xf>
    <xf numFmtId="4" fontId="14" fillId="0" borderId="11" xfId="0" applyNumberFormat="1" applyFont="1" applyBorder="1" applyAlignment="1">
      <alignment horizontal="center"/>
    </xf>
    <xf numFmtId="4" fontId="14" fillId="0" borderId="12" xfId="0" applyNumberFormat="1" applyFont="1" applyBorder="1" applyAlignment="1">
      <alignment horizontal="center"/>
    </xf>
    <xf numFmtId="4" fontId="14" fillId="0" borderId="13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1" fontId="14" fillId="0" borderId="14" xfId="0" applyNumberFormat="1" applyFont="1" applyFill="1" applyBorder="1" applyAlignment="1">
      <alignment horizontal="center"/>
    </xf>
    <xf numFmtId="166" fontId="14" fillId="0" borderId="14" xfId="0" applyNumberFormat="1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2" xfId="0" applyFont="1" applyFill="1" applyBorder="1"/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 vertical="center"/>
    </xf>
    <xf numFmtId="0" fontId="14" fillId="0" borderId="15" xfId="0" applyFont="1" applyFill="1" applyBorder="1"/>
    <xf numFmtId="2" fontId="14" fillId="0" borderId="7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/>
    </xf>
    <xf numFmtId="0" fontId="14" fillId="0" borderId="15" xfId="0" applyFont="1" applyFill="1" applyBorder="1" applyAlignment="1">
      <alignment horizontal="center" vertical="center"/>
    </xf>
    <xf numFmtId="2" fontId="14" fillId="0" borderId="15" xfId="0" applyNumberFormat="1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vertical="center"/>
    </xf>
    <xf numFmtId="0" fontId="14" fillId="0" borderId="3" xfId="0" applyFont="1" applyFill="1" applyBorder="1"/>
    <xf numFmtId="0" fontId="14" fillId="0" borderId="2" xfId="0" applyFont="1" applyBorder="1"/>
    <xf numFmtId="168" fontId="14" fillId="0" borderId="5" xfId="0" applyNumberFormat="1" applyFont="1" applyBorder="1" applyAlignment="1">
      <alignment horizontal="center"/>
    </xf>
    <xf numFmtId="168" fontId="14" fillId="0" borderId="7" xfId="0" applyNumberFormat="1" applyFont="1" applyBorder="1" applyAlignment="1">
      <alignment horizontal="center"/>
    </xf>
    <xf numFmtId="168" fontId="14" fillId="0" borderId="9" xfId="0" applyNumberFormat="1" applyFont="1" applyBorder="1" applyAlignment="1">
      <alignment horizontal="center"/>
    </xf>
    <xf numFmtId="0" fontId="14" fillId="0" borderId="1" xfId="0" applyFont="1" applyBorder="1"/>
    <xf numFmtId="0" fontId="14" fillId="0" borderId="6" xfId="0" applyFont="1" applyBorder="1"/>
    <xf numFmtId="1" fontId="14" fillId="0" borderId="15" xfId="0" applyNumberFormat="1" applyFont="1" applyFill="1" applyBorder="1" applyAlignment="1">
      <alignment horizontal="center"/>
    </xf>
    <xf numFmtId="168" fontId="14" fillId="0" borderId="7" xfId="0" applyNumberFormat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66" fontId="14" fillId="0" borderId="0" xfId="0" applyNumberFormat="1" applyFont="1" applyBorder="1" applyAlignment="1" applyProtection="1">
      <alignment horizontal="center" vertical="center"/>
      <protection locked="0"/>
    </xf>
    <xf numFmtId="1" fontId="14" fillId="0" borderId="0" xfId="0" applyNumberFormat="1" applyFont="1" applyFill="1" applyBorder="1" applyAlignment="1">
      <alignment horizontal="center" vertical="center"/>
    </xf>
    <xf numFmtId="1" fontId="14" fillId="0" borderId="7" xfId="0" applyNumberFormat="1" applyFont="1" applyFill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0" fontId="14" fillId="0" borderId="12" xfId="0" applyFont="1" applyBorder="1" applyAlignment="1"/>
    <xf numFmtId="0" fontId="0" fillId="0" borderId="15" xfId="0" applyFont="1" applyFill="1" applyBorder="1" applyAlignment="1">
      <alignment horizontal="center" vertical="center"/>
    </xf>
    <xf numFmtId="166" fontId="14" fillId="0" borderId="14" xfId="0" applyNumberFormat="1" applyFont="1" applyFill="1" applyBorder="1" applyAlignment="1">
      <alignment horizontal="center" vertical="center"/>
    </xf>
    <xf numFmtId="166" fontId="14" fillId="0" borderId="15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/>
    </xf>
    <xf numFmtId="0" fontId="15" fillId="4" borderId="1" xfId="0" applyFont="1" applyFill="1" applyBorder="1"/>
    <xf numFmtId="0" fontId="15" fillId="4" borderId="2" xfId="0" applyFont="1" applyFill="1" applyBorder="1" applyAlignment="1"/>
    <xf numFmtId="0" fontId="15" fillId="4" borderId="2" xfId="0" applyFont="1" applyFill="1" applyBorder="1"/>
    <xf numFmtId="0" fontId="15" fillId="4" borderId="3" xfId="0" applyFont="1" applyFill="1" applyBorder="1" applyAlignment="1"/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5" xfId="0" applyFont="1" applyBorder="1" applyAlignment="1">
      <alignment horizontal="center"/>
    </xf>
    <xf numFmtId="0" fontId="17" fillId="0" borderId="15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0" fillId="0" borderId="15" xfId="0" applyFont="1" applyFill="1" applyBorder="1" applyAlignment="1">
      <alignment vertical="center"/>
    </xf>
    <xf numFmtId="0" fontId="18" fillId="0" borderId="0" xfId="0" applyFont="1" applyFill="1" applyBorder="1" applyAlignment="1">
      <alignment vertical="top"/>
    </xf>
    <xf numFmtId="0" fontId="0" fillId="0" borderId="15" xfId="0" applyFont="1" applyFill="1" applyBorder="1" applyAlignment="1"/>
    <xf numFmtId="0" fontId="14" fillId="0" borderId="10" xfId="0" applyFont="1" applyBorder="1" applyAlignment="1">
      <alignment horizontal="left"/>
    </xf>
    <xf numFmtId="0" fontId="17" fillId="0" borderId="4" xfId="0" applyFont="1" applyFill="1" applyBorder="1" applyAlignment="1">
      <alignment horizontal="left" vertical="center"/>
    </xf>
    <xf numFmtId="0" fontId="17" fillId="0" borderId="11" xfId="0" applyFont="1" applyFill="1" applyBorder="1" applyAlignment="1">
      <alignment horizontal="left" vertical="center"/>
    </xf>
    <xf numFmtId="0" fontId="17" fillId="0" borderId="6" xfId="0" applyFont="1" applyFill="1" applyBorder="1" applyAlignment="1">
      <alignment horizontal="right" vertical="center"/>
    </xf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126998</xdr:rowOff>
    </xdr:from>
    <xdr:to>
      <xdr:col>4</xdr:col>
      <xdr:colOff>740833</xdr:colOff>
      <xdr:row>7</xdr:row>
      <xdr:rowOff>261938</xdr:rowOff>
    </xdr:to>
    <xdr:sp macro="" textlink="">
      <xdr:nvSpPr>
        <xdr:cNvPr id="4" name="Rectangle 3"/>
        <xdr:cNvSpPr/>
      </xdr:nvSpPr>
      <xdr:spPr>
        <a:xfrm>
          <a:off x="4673865" y="305592"/>
          <a:ext cx="1698624" cy="1206502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WESTERN HIGHLANDS KAMWENGE, IBANDA, BUSHENYI, KYENJOJO</a:t>
          </a:r>
          <a:endParaRPr lang="en-US" sz="1400" b="1">
            <a:effectLst/>
          </a:endParaRP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96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93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71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72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73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97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86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87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95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zoomScale="80" zoomScaleNormal="80" workbookViewId="0">
      <selection activeCell="F15" sqref="F15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17</v>
      </c>
      <c r="O8" s="50"/>
      <c r="P8" s="51" t="s">
        <v>61</v>
      </c>
      <c r="Q8" s="52" t="s">
        <v>18</v>
      </c>
      <c r="R8" s="52" t="s">
        <v>20</v>
      </c>
      <c r="S8" s="53" t="s">
        <v>19</v>
      </c>
      <c r="T8" s="54" t="s">
        <v>35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8</v>
      </c>
      <c r="O9" s="24"/>
      <c r="P9" s="55" t="s">
        <v>8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0</v>
      </c>
      <c r="AJ9" s="47"/>
      <c r="AK9" s="47"/>
    </row>
    <row r="10" spans="1:37" ht="18" x14ac:dyDescent="0.25">
      <c r="A10" s="47"/>
      <c r="B10" s="58" t="s">
        <v>83</v>
      </c>
      <c r="C10" s="289" t="s">
        <v>92</v>
      </c>
      <c r="D10" s="289"/>
      <c r="E10" s="11"/>
      <c r="F10" s="47"/>
      <c r="G10" s="47"/>
      <c r="H10" s="47"/>
      <c r="I10" s="47"/>
      <c r="J10" s="47"/>
      <c r="K10" s="47"/>
      <c r="N10" s="2" t="s">
        <v>14</v>
      </c>
      <c r="O10" s="3"/>
      <c r="P10" s="59" t="s">
        <v>11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0</v>
      </c>
      <c r="AJ10" s="47"/>
      <c r="AK10" s="47"/>
    </row>
    <row r="11" spans="1:37" ht="18" x14ac:dyDescent="0.25">
      <c r="A11" s="47"/>
      <c r="B11" s="58" t="s">
        <v>84</v>
      </c>
      <c r="C11" s="289" t="s">
        <v>92</v>
      </c>
      <c r="D11" s="289"/>
      <c r="E11" s="63"/>
      <c r="F11" s="47"/>
      <c r="G11" s="47"/>
      <c r="H11" s="47"/>
      <c r="I11" s="47"/>
      <c r="J11" s="47"/>
      <c r="K11" s="47"/>
      <c r="N11" s="2" t="s">
        <v>15</v>
      </c>
      <c r="O11" s="3"/>
      <c r="P11" s="64" t="s">
        <v>12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85</v>
      </c>
      <c r="C12" s="290">
        <f ca="1">TODAY()</f>
        <v>42522</v>
      </c>
      <c r="D12" s="290"/>
      <c r="E12" s="65"/>
      <c r="F12" s="47"/>
      <c r="G12" s="47"/>
      <c r="H12" s="47"/>
      <c r="I12" s="47"/>
      <c r="J12" s="47"/>
      <c r="K12" s="47"/>
      <c r="N12" s="22" t="s">
        <v>16</v>
      </c>
      <c r="O12" s="25"/>
      <c r="P12" s="66" t="s">
        <v>21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94" t="s">
        <v>4</v>
      </c>
      <c r="C14" s="295"/>
      <c r="D14" s="296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5</v>
      </c>
      <c r="C15" s="4" t="s">
        <v>110</v>
      </c>
      <c r="D15" s="5" t="s">
        <v>102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249" t="s">
        <v>112</v>
      </c>
      <c r="C16" s="35"/>
      <c r="D16" s="35"/>
      <c r="E16" s="65"/>
      <c r="F16" s="47"/>
      <c r="G16" s="47"/>
      <c r="H16" s="47"/>
      <c r="I16" s="47"/>
      <c r="J16" s="47"/>
      <c r="K16" s="47"/>
      <c r="N16" s="273" t="s">
        <v>31</v>
      </c>
      <c r="O16" s="274"/>
      <c r="P16" s="274"/>
      <c r="Q16" s="274"/>
      <c r="R16" s="274"/>
      <c r="S16" s="274"/>
      <c r="T16" s="274"/>
      <c r="U16" s="274"/>
      <c r="V16" s="274"/>
      <c r="W16" s="274"/>
      <c r="X16" s="275"/>
      <c r="Y16" s="273" t="s">
        <v>98</v>
      </c>
      <c r="Z16" s="274"/>
      <c r="AA16" s="275"/>
      <c r="AJ16" s="47"/>
      <c r="AK16" s="47"/>
    </row>
    <row r="17" spans="1:37" ht="18" x14ac:dyDescent="0.25">
      <c r="A17" s="47"/>
      <c r="B17" s="250" t="s">
        <v>113</v>
      </c>
      <c r="C17" s="35"/>
      <c r="D17" s="35"/>
      <c r="E17" s="65"/>
      <c r="F17" s="47"/>
      <c r="G17" s="47"/>
      <c r="H17" s="47"/>
      <c r="I17" s="47"/>
      <c r="J17" s="47"/>
      <c r="K17" s="47"/>
      <c r="N17" s="232" t="s">
        <v>5</v>
      </c>
      <c r="O17" s="59" t="s">
        <v>23</v>
      </c>
      <c r="P17" s="73" t="s">
        <v>24</v>
      </c>
      <c r="Q17" s="73" t="s">
        <v>25</v>
      </c>
      <c r="R17" s="73" t="s">
        <v>26</v>
      </c>
      <c r="S17" s="75" t="str">
        <f>P13&amp;" Min"</f>
        <v>NPK Min</v>
      </c>
      <c r="T17" s="76" t="s">
        <v>27</v>
      </c>
      <c r="U17" s="77" t="s">
        <v>28</v>
      </c>
      <c r="V17" s="77" t="s">
        <v>29</v>
      </c>
      <c r="W17" s="77" t="s">
        <v>30</v>
      </c>
      <c r="X17" s="78" t="str">
        <f>P13&amp;" Max"</f>
        <v>NPK Max</v>
      </c>
      <c r="Y17" s="64" t="s">
        <v>65</v>
      </c>
      <c r="Z17" s="75" t="s">
        <v>66</v>
      </c>
      <c r="AA17" s="53" t="s">
        <v>68</v>
      </c>
      <c r="AJ17" s="47"/>
      <c r="AK17" s="47"/>
    </row>
    <row r="18" spans="1:37" ht="18" x14ac:dyDescent="0.25">
      <c r="A18" s="47"/>
      <c r="B18" s="250" t="s">
        <v>135</v>
      </c>
      <c r="C18" s="35"/>
      <c r="D18" s="35"/>
      <c r="E18" s="47"/>
      <c r="F18" s="47"/>
      <c r="G18" s="47"/>
      <c r="H18" s="47"/>
      <c r="I18" s="47"/>
      <c r="J18" s="47"/>
      <c r="K18" s="47"/>
      <c r="N18" s="268" t="s">
        <v>112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0</v>
      </c>
      <c r="U18" s="80">
        <f>IF($F$27&lt;=0,0,300)</f>
        <v>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251" t="s">
        <v>115</v>
      </c>
      <c r="C19" s="35"/>
      <c r="D19" s="35"/>
      <c r="E19" s="65"/>
      <c r="F19" s="47"/>
      <c r="G19" s="47"/>
      <c r="H19" s="47"/>
      <c r="I19" s="47"/>
      <c r="J19" s="47"/>
      <c r="K19" s="47"/>
      <c r="N19" s="268" t="s">
        <v>113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0</v>
      </c>
      <c r="U19" s="86">
        <f>IF($F$27&lt;=0,0,200)</f>
        <v>0</v>
      </c>
      <c r="V19" s="86">
        <f>IF($F$28&lt;=0,0,20)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251" t="s">
        <v>128</v>
      </c>
      <c r="C20" s="35"/>
      <c r="D20" s="35"/>
      <c r="E20" s="65"/>
      <c r="F20" s="47"/>
      <c r="G20" s="47"/>
      <c r="H20" s="47"/>
      <c r="I20" s="47"/>
      <c r="J20" s="47"/>
      <c r="K20" s="47"/>
      <c r="N20" s="268" t="s">
        <v>114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0</v>
      </c>
      <c r="U20" s="86">
        <f>IF($F$27&lt;=0,0,200)</f>
        <v>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52" t="s">
        <v>136</v>
      </c>
      <c r="C21" s="36"/>
      <c r="D21" s="36"/>
      <c r="E21" s="65"/>
      <c r="F21" s="47"/>
      <c r="G21" s="47"/>
      <c r="H21" s="47"/>
      <c r="I21" s="47"/>
      <c r="J21" s="47"/>
      <c r="K21" s="47"/>
      <c r="N21" s="268" t="s">
        <v>115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0</v>
      </c>
      <c r="U21" s="86">
        <f>IF($F$27&lt;=0,0,100)</f>
        <v>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111</v>
      </c>
      <c r="C22" s="93">
        <f>SUM(C16:C21)</f>
        <v>0</v>
      </c>
      <c r="D22" s="94"/>
      <c r="E22" s="47"/>
      <c r="F22" s="47"/>
      <c r="G22" s="47"/>
      <c r="H22" s="47"/>
      <c r="I22" s="47"/>
      <c r="J22" s="47"/>
      <c r="K22" s="47"/>
      <c r="N22" s="268" t="s">
        <v>128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0</v>
      </c>
      <c r="U22" s="86">
        <f>IF($F$27&lt;=0,0,100)</f>
        <v>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68" t="s">
        <v>132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0</v>
      </c>
      <c r="U23" s="96">
        <f>IF($F$27&lt;=0,0,100)</f>
        <v>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86">
        <v>90</v>
      </c>
      <c r="Z23" s="233">
        <v>40</v>
      </c>
      <c r="AA23" s="100">
        <v>50</v>
      </c>
      <c r="AJ23" s="47"/>
      <c r="AK23" s="47"/>
    </row>
    <row r="24" spans="1:37" ht="18" x14ac:dyDescent="0.25">
      <c r="A24" s="47"/>
      <c r="B24" s="291" t="s">
        <v>6</v>
      </c>
      <c r="C24" s="292"/>
      <c r="D24" s="292"/>
      <c r="E24" s="292"/>
      <c r="F24" s="293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7</v>
      </c>
      <c r="C25" s="19" t="s">
        <v>75</v>
      </c>
      <c r="D25" s="20" t="s">
        <v>81</v>
      </c>
      <c r="E25" s="19" t="s">
        <v>82</v>
      </c>
      <c r="F25" s="21" t="s">
        <v>64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8</v>
      </c>
      <c r="C26" s="30">
        <v>0.46</v>
      </c>
      <c r="D26" s="30">
        <v>0</v>
      </c>
      <c r="E26" s="31">
        <v>0</v>
      </c>
      <c r="F26" s="161"/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79</v>
      </c>
      <c r="C27" s="32">
        <v>0</v>
      </c>
      <c r="D27" s="32">
        <v>0.46</v>
      </c>
      <c r="E27" s="33">
        <v>0</v>
      </c>
      <c r="F27" s="35"/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78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77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131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73" t="s">
        <v>33</v>
      </c>
      <c r="M30" s="274"/>
      <c r="N30" s="275"/>
      <c r="O30" s="276" t="s">
        <v>88</v>
      </c>
      <c r="P30" s="277"/>
      <c r="Q30" s="277"/>
      <c r="R30" s="277"/>
      <c r="S30" s="278"/>
      <c r="T30" s="273" t="s">
        <v>32</v>
      </c>
      <c r="U30" s="274"/>
      <c r="V30" s="274"/>
      <c r="W30" s="274"/>
      <c r="X30" s="274"/>
      <c r="Y30" s="274"/>
      <c r="Z30" s="274"/>
      <c r="AA30" s="274"/>
      <c r="AB30" s="273" t="s">
        <v>67</v>
      </c>
      <c r="AC30" s="274"/>
      <c r="AD30" s="275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1" t="s">
        <v>5</v>
      </c>
      <c r="M31" s="261" t="s">
        <v>22</v>
      </c>
      <c r="N31" s="55" t="s">
        <v>3</v>
      </c>
      <c r="O31" s="102" t="s">
        <v>57</v>
      </c>
      <c r="P31" s="103" t="s">
        <v>89</v>
      </c>
      <c r="Q31" s="103" t="s">
        <v>90</v>
      </c>
      <c r="R31" s="103" t="s">
        <v>91</v>
      </c>
      <c r="S31" s="104" t="str">
        <f>P13&amp;" kg"</f>
        <v>NPK kg</v>
      </c>
      <c r="T31" s="76" t="s">
        <v>36</v>
      </c>
      <c r="U31" s="77" t="s">
        <v>37</v>
      </c>
      <c r="V31" s="77" t="s">
        <v>38</v>
      </c>
      <c r="W31" s="77" t="s">
        <v>39</v>
      </c>
      <c r="X31" s="77" t="s">
        <v>40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65</v>
      </c>
      <c r="AC31" s="75" t="s">
        <v>66</v>
      </c>
      <c r="AD31" s="53" t="s">
        <v>68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68" t="s">
        <v>112</v>
      </c>
      <c r="M32" s="228">
        <f>C16*0.404686</f>
        <v>0</v>
      </c>
      <c r="N32" s="189">
        <f t="shared" ref="N32:N37" si="3">IF(D16&lt;=0,0,D16)</f>
        <v>0</v>
      </c>
      <c r="O32" s="106">
        <v>0</v>
      </c>
      <c r="P32" s="107">
        <v>0</v>
      </c>
      <c r="Q32" s="107">
        <v>0</v>
      </c>
      <c r="R32" s="107">
        <v>0</v>
      </c>
      <c r="S32" s="108">
        <v>0</v>
      </c>
      <c r="T32" s="109">
        <f>IF(M32&lt;=0,0,O32*$Q$9)</f>
        <v>0</v>
      </c>
      <c r="U32" s="110">
        <f>IF(M32&lt;=0,0,P32*$R$10)</f>
        <v>0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45">
        <f>T32+V32+Y32</f>
        <v>0</v>
      </c>
      <c r="AC32" s="83">
        <f t="shared" ref="AB32:AD37" si="4">U32+W32+Z32</f>
        <v>0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91" t="s">
        <v>9</v>
      </c>
      <c r="C33" s="293"/>
      <c r="D33" s="91"/>
      <c r="E33" s="91"/>
      <c r="F33" s="91"/>
      <c r="G33" s="47"/>
      <c r="H33" s="47"/>
      <c r="I33" s="47"/>
      <c r="J33" s="47"/>
      <c r="K33" s="47"/>
      <c r="L33" s="268" t="s">
        <v>113</v>
      </c>
      <c r="M33" s="229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6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6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46">
        <f t="shared" si="4"/>
        <v>0</v>
      </c>
      <c r="AC33" s="89">
        <f>U33+W33+Z33</f>
        <v>0</v>
      </c>
      <c r="AD33" s="90">
        <f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10</v>
      </c>
      <c r="C34" s="162"/>
      <c r="D34" s="26"/>
      <c r="E34" s="17"/>
      <c r="F34" s="91"/>
      <c r="G34" s="47"/>
      <c r="H34" s="47"/>
      <c r="I34" s="47"/>
      <c r="J34" s="47"/>
      <c r="K34" s="47"/>
      <c r="L34" s="268" t="s">
        <v>114</v>
      </c>
      <c r="M34" s="234">
        <f t="shared" si="5"/>
        <v>0</v>
      </c>
      <c r="N34" s="235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36">
        <v>0</v>
      </c>
      <c r="T34" s="185">
        <f t="shared" si="6"/>
        <v>0</v>
      </c>
      <c r="U34" s="237">
        <f t="shared" si="7"/>
        <v>0</v>
      </c>
      <c r="V34" s="237">
        <f t="shared" si="8"/>
        <v>0</v>
      </c>
      <c r="W34" s="237">
        <f t="shared" si="9"/>
        <v>0</v>
      </c>
      <c r="X34" s="237">
        <f t="shared" si="10"/>
        <v>0</v>
      </c>
      <c r="Y34" s="237">
        <f t="shared" si="11"/>
        <v>0</v>
      </c>
      <c r="Z34" s="237">
        <f t="shared" si="12"/>
        <v>0</v>
      </c>
      <c r="AA34" s="238">
        <f t="shared" si="13"/>
        <v>0</v>
      </c>
      <c r="AB34" s="247">
        <f t="shared" si="4"/>
        <v>0</v>
      </c>
      <c r="AC34" s="239">
        <f t="shared" si="4"/>
        <v>0</v>
      </c>
      <c r="AD34" s="238">
        <f t="shared" ref="AD34:AD35" si="14">X34+AA34</f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97"/>
      <c r="C35" s="297"/>
      <c r="D35" s="37"/>
      <c r="E35" s="65"/>
      <c r="F35" s="91"/>
      <c r="G35" s="47"/>
      <c r="H35" s="47"/>
      <c r="I35" s="47"/>
      <c r="J35" s="47"/>
      <c r="K35" s="47"/>
      <c r="L35" s="268" t="s">
        <v>115</v>
      </c>
      <c r="M35" s="229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46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68" t="s">
        <v>128</v>
      </c>
      <c r="M36" s="229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>IF(M36&lt;=0,0,Q36*$Q$11)</f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46">
        <f t="shared" ref="AB36" si="15">T36+V36+Y36</f>
        <v>0</v>
      </c>
      <c r="AC36" s="89">
        <f t="shared" ref="AC36" si="16">U36+W36+Z36</f>
        <v>0</v>
      </c>
      <c r="AD36" s="90">
        <f t="shared" ref="AD36" si="17"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68" t="s">
        <v>132</v>
      </c>
      <c r="M37" s="230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>IF(M37&lt;=0,0,O37*$Q$9)</f>
        <v>0</v>
      </c>
      <c r="U37" s="110">
        <f t="shared" si="7"/>
        <v>0</v>
      </c>
      <c r="V37" s="110">
        <f t="shared" si="8"/>
        <v>0</v>
      </c>
      <c r="W37" s="110">
        <f>IF(M37&lt;=0,0,Q37*$R$11)</f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48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34</v>
      </c>
      <c r="M38" s="115">
        <f>SUM(M32:M37)</f>
        <v>0</v>
      </c>
      <c r="N38" s="67"/>
      <c r="O38" s="116">
        <f>SUM(O32:O37)</f>
        <v>0</v>
      </c>
      <c r="P38" s="117">
        <f>SUM(P32:P37)</f>
        <v>0</v>
      </c>
      <c r="Q38" s="117">
        <f t="shared" ref="Q38:R38" si="18">SUM(Q32:Q37)</f>
        <v>0</v>
      </c>
      <c r="R38" s="117">
        <f t="shared" si="18"/>
        <v>0</v>
      </c>
      <c r="S38" s="118">
        <f>SUM(S32:S37)</f>
        <v>0</v>
      </c>
      <c r="T38" s="117">
        <f>SUM(T32:T37)</f>
        <v>0</v>
      </c>
      <c r="U38" s="117">
        <f t="shared" ref="U38:X38" si="19">SUM(U32:U37)</f>
        <v>0</v>
      </c>
      <c r="V38" s="117">
        <f t="shared" si="19"/>
        <v>0</v>
      </c>
      <c r="W38" s="117">
        <f t="shared" si="19"/>
        <v>0</v>
      </c>
      <c r="X38" s="117">
        <f t="shared" si="19"/>
        <v>0</v>
      </c>
      <c r="Y38" s="117">
        <f t="shared" ref="Y38" si="20">SUM(Y32:Y37)</f>
        <v>0</v>
      </c>
      <c r="Z38" s="117">
        <f t="shared" ref="Z38" si="21">SUM(Z32:Z37)</f>
        <v>0</v>
      </c>
      <c r="AA38" s="118">
        <f>SUM(AA32:AA37)</f>
        <v>0</v>
      </c>
      <c r="AB38" s="96">
        <f>SUM(AB32:AB37)</f>
        <v>0</v>
      </c>
      <c r="AC38" s="96">
        <f>SUM(AC32:AC37)</f>
        <v>0</v>
      </c>
      <c r="AD38" s="98">
        <f>SUM(AD32:AD37)</f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103</v>
      </c>
      <c r="O39" s="116">
        <f>$M$32*O32+$M$33*O33+$M$34*O34+$M$35*O35+$M$36*O36+$M$37*O37</f>
        <v>0</v>
      </c>
      <c r="P39" s="117">
        <f t="shared" ref="P39:S39" si="22">$M$32*P32+$M$33*P33+$M$34*P34+$M$35*P35+$M$36*P36+$M$37*P37</f>
        <v>0</v>
      </c>
      <c r="Q39" s="117">
        <f t="shared" si="22"/>
        <v>0</v>
      </c>
      <c r="R39" s="117">
        <f t="shared" si="22"/>
        <v>0</v>
      </c>
      <c r="S39" s="118">
        <f t="shared" si="22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82" t="s">
        <v>74</v>
      </c>
      <c r="C41" s="283"/>
      <c r="D41" s="283"/>
      <c r="E41" s="283"/>
      <c r="F41" s="283"/>
      <c r="G41" s="284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79" t="s">
        <v>109</v>
      </c>
      <c r="D42" s="280"/>
      <c r="E42" s="280"/>
      <c r="F42" s="280"/>
      <c r="G42" s="281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5</v>
      </c>
      <c r="C43" s="39" t="s">
        <v>8</v>
      </c>
      <c r="D43" s="39" t="s">
        <v>11</v>
      </c>
      <c r="E43" s="39" t="s">
        <v>12</v>
      </c>
      <c r="F43" s="39" t="s">
        <v>13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38" t="s">
        <v>112</v>
      </c>
      <c r="C44" s="7">
        <f>O32*0.40469</f>
        <v>0</v>
      </c>
      <c r="D44" s="7">
        <f t="shared" ref="D44:D48" si="23">P32*0.40469</f>
        <v>0</v>
      </c>
      <c r="E44" s="7">
        <f t="shared" ref="E44:E48" si="24">Q32*0.40469</f>
        <v>0</v>
      </c>
      <c r="F44" s="7">
        <f t="shared" ref="F44:F48" si="25">R32*0.40469</f>
        <v>0</v>
      </c>
      <c r="G44" s="7">
        <f t="shared" ref="G44:G48" si="26">S32*0.40469</f>
        <v>0</v>
      </c>
      <c r="H44" s="47"/>
      <c r="I44" s="47"/>
      <c r="J44" s="47"/>
      <c r="K44" s="47"/>
      <c r="N44" s="273" t="s">
        <v>48</v>
      </c>
      <c r="O44" s="274"/>
      <c r="P44" s="274"/>
      <c r="Q44" s="274"/>
      <c r="R44" s="274"/>
      <c r="S44" s="274"/>
      <c r="T44" s="274"/>
      <c r="U44" s="278"/>
      <c r="Y44" s="73"/>
      <c r="AJ44" s="47"/>
      <c r="AK44" s="47"/>
    </row>
    <row r="45" spans="1:37" ht="18" x14ac:dyDescent="0.25">
      <c r="A45" s="47"/>
      <c r="B45" s="38" t="s">
        <v>113</v>
      </c>
      <c r="C45" s="7">
        <f t="shared" ref="C45:C48" si="27">O33*0.40469</f>
        <v>0</v>
      </c>
      <c r="D45" s="7">
        <f t="shared" si="23"/>
        <v>0</v>
      </c>
      <c r="E45" s="7">
        <f t="shared" si="24"/>
        <v>0</v>
      </c>
      <c r="F45" s="7">
        <f t="shared" si="25"/>
        <v>0</v>
      </c>
      <c r="G45" s="7">
        <f t="shared" si="26"/>
        <v>0</v>
      </c>
      <c r="H45" s="47"/>
      <c r="I45" s="47"/>
      <c r="J45" s="47"/>
      <c r="K45" s="47"/>
      <c r="N45" s="227" t="s">
        <v>5</v>
      </c>
      <c r="O45" s="59" t="s">
        <v>49</v>
      </c>
      <c r="P45" s="73" t="s">
        <v>50</v>
      </c>
      <c r="Q45" s="73" t="s">
        <v>51</v>
      </c>
      <c r="R45" s="73" t="s">
        <v>52</v>
      </c>
      <c r="S45" s="119" t="str">
        <f>P13</f>
        <v>NPK</v>
      </c>
      <c r="T45" s="64" t="s">
        <v>99</v>
      </c>
      <c r="U45" s="101" t="s">
        <v>9</v>
      </c>
      <c r="Y45" s="73"/>
      <c r="AJ45" s="47"/>
      <c r="AK45" s="47"/>
    </row>
    <row r="46" spans="1:37" ht="18" x14ac:dyDescent="0.25">
      <c r="A46" s="47"/>
      <c r="B46" s="38" t="s">
        <v>114</v>
      </c>
      <c r="C46" s="7">
        <f t="shared" si="27"/>
        <v>0</v>
      </c>
      <c r="D46" s="7">
        <f t="shared" si="23"/>
        <v>0</v>
      </c>
      <c r="E46" s="7">
        <f t="shared" si="24"/>
        <v>0</v>
      </c>
      <c r="F46" s="7">
        <f t="shared" si="25"/>
        <v>0</v>
      </c>
      <c r="G46" s="7">
        <f t="shared" si="26"/>
        <v>0</v>
      </c>
      <c r="H46" s="47"/>
      <c r="I46" s="47"/>
      <c r="J46" s="47"/>
      <c r="K46" s="47"/>
      <c r="L46" s="120"/>
      <c r="N46" s="67" t="s">
        <v>112</v>
      </c>
      <c r="O46" s="203">
        <f>O32*$T$9</f>
        <v>0</v>
      </c>
      <c r="P46" s="203">
        <f t="shared" ref="P46:P51" si="28">P32*$T$10</f>
        <v>0</v>
      </c>
      <c r="Q46" s="203">
        <f t="shared" ref="Q46:Q51" si="29">Q32*$T$11</f>
        <v>0</v>
      </c>
      <c r="R46" s="203">
        <f t="shared" ref="R46:R51" si="30">R32*$T$12</f>
        <v>0</v>
      </c>
      <c r="S46" s="203">
        <f t="shared" ref="S46:S51" si="31">S32*$T$13</f>
        <v>0</v>
      </c>
      <c r="T46" s="199">
        <f>SUM(O46:S46)*M32</f>
        <v>0</v>
      </c>
      <c r="U46" s="50"/>
      <c r="Y46" s="73"/>
      <c r="AJ46" s="47"/>
      <c r="AK46" s="47"/>
    </row>
    <row r="47" spans="1:37" ht="15.75" customHeight="1" x14ac:dyDescent="0.25">
      <c r="A47" s="47"/>
      <c r="B47" s="38" t="s">
        <v>115</v>
      </c>
      <c r="C47" s="7">
        <f t="shared" si="27"/>
        <v>0</v>
      </c>
      <c r="D47" s="7">
        <f t="shared" si="23"/>
        <v>0</v>
      </c>
      <c r="E47" s="7">
        <f t="shared" si="24"/>
        <v>0</v>
      </c>
      <c r="F47" s="7">
        <f t="shared" si="25"/>
        <v>0</v>
      </c>
      <c r="G47" s="7">
        <f t="shared" si="26"/>
        <v>0</v>
      </c>
      <c r="H47" s="47"/>
      <c r="I47" s="47"/>
      <c r="J47" s="47"/>
      <c r="K47" s="47"/>
      <c r="N47" s="67" t="s">
        <v>113</v>
      </c>
      <c r="O47" s="204">
        <f t="shared" ref="O47:O51" si="32">O33*$T$9</f>
        <v>0</v>
      </c>
      <c r="P47" s="204">
        <f t="shared" si="28"/>
        <v>0</v>
      </c>
      <c r="Q47" s="204">
        <f t="shared" si="29"/>
        <v>0</v>
      </c>
      <c r="R47" s="204">
        <f>R33*$T$12</f>
        <v>0</v>
      </c>
      <c r="S47" s="204">
        <f t="shared" si="31"/>
        <v>0</v>
      </c>
      <c r="T47" s="200">
        <f t="shared" ref="T47:T51" si="33">SUM(O47:S47)*M33</f>
        <v>0</v>
      </c>
      <c r="U47" s="121"/>
      <c r="AJ47" s="47"/>
      <c r="AK47" s="47"/>
    </row>
    <row r="48" spans="1:37" ht="18" x14ac:dyDescent="0.25">
      <c r="A48" s="47"/>
      <c r="B48" s="38" t="s">
        <v>128</v>
      </c>
      <c r="C48" s="7">
        <f t="shared" si="27"/>
        <v>0</v>
      </c>
      <c r="D48" s="7">
        <f t="shared" si="23"/>
        <v>0</v>
      </c>
      <c r="E48" s="7">
        <f t="shared" si="24"/>
        <v>0</v>
      </c>
      <c r="F48" s="7">
        <f t="shared" si="25"/>
        <v>0</v>
      </c>
      <c r="G48" s="7">
        <f t="shared" si="26"/>
        <v>0</v>
      </c>
      <c r="H48" s="47"/>
      <c r="I48" s="47"/>
      <c r="J48" s="47"/>
      <c r="K48" s="47"/>
      <c r="N48" s="67" t="s">
        <v>114</v>
      </c>
      <c r="O48" s="204">
        <f t="shared" si="32"/>
        <v>0</v>
      </c>
      <c r="P48" s="204">
        <f t="shared" si="28"/>
        <v>0</v>
      </c>
      <c r="Q48" s="204">
        <f t="shared" si="29"/>
        <v>0</v>
      </c>
      <c r="R48" s="204">
        <f t="shared" si="30"/>
        <v>0</v>
      </c>
      <c r="S48" s="204">
        <f t="shared" si="31"/>
        <v>0</v>
      </c>
      <c r="T48" s="200">
        <f t="shared" si="33"/>
        <v>0</v>
      </c>
      <c r="U48" s="121"/>
      <c r="AJ48" s="47"/>
      <c r="AK48" s="47"/>
    </row>
    <row r="49" spans="1:37" ht="18" x14ac:dyDescent="0.25">
      <c r="A49" s="47"/>
      <c r="B49" s="38" t="s">
        <v>132</v>
      </c>
      <c r="C49" s="7">
        <f t="shared" ref="C49" si="34">O37*0.40469</f>
        <v>0</v>
      </c>
      <c r="D49" s="7">
        <f t="shared" ref="D49" si="35">P37*0.40469</f>
        <v>0</v>
      </c>
      <c r="E49" s="7">
        <f t="shared" ref="E49" si="36">Q37*0.40469</f>
        <v>0</v>
      </c>
      <c r="F49" s="7">
        <f t="shared" ref="F49" si="37">R37*0.40469</f>
        <v>0</v>
      </c>
      <c r="G49" s="7">
        <f t="shared" ref="G49" si="38">S37*0.40469</f>
        <v>0</v>
      </c>
      <c r="H49" s="47"/>
      <c r="I49" s="47"/>
      <c r="J49" s="47"/>
      <c r="K49" s="47"/>
      <c r="N49" s="67" t="s">
        <v>115</v>
      </c>
      <c r="O49" s="204">
        <f t="shared" si="32"/>
        <v>0</v>
      </c>
      <c r="P49" s="204">
        <f t="shared" si="28"/>
        <v>0</v>
      </c>
      <c r="Q49" s="204">
        <f t="shared" si="29"/>
        <v>0</v>
      </c>
      <c r="R49" s="204">
        <f t="shared" si="30"/>
        <v>0</v>
      </c>
      <c r="S49" s="204">
        <f t="shared" si="31"/>
        <v>0</v>
      </c>
      <c r="T49" s="200">
        <f t="shared" si="33"/>
        <v>0</v>
      </c>
      <c r="U49" s="121"/>
      <c r="AJ49" s="47"/>
      <c r="AK49" s="47"/>
    </row>
    <row r="50" spans="1:37" ht="18" x14ac:dyDescent="0.25">
      <c r="A50" s="47"/>
      <c r="B50" s="38" t="s">
        <v>103</v>
      </c>
      <c r="C50" s="216">
        <f>O39</f>
        <v>0</v>
      </c>
      <c r="D50" s="216">
        <f>P39</f>
        <v>0</v>
      </c>
      <c r="E50" s="216">
        <f>Q39</f>
        <v>0</v>
      </c>
      <c r="F50" s="216">
        <f>R39</f>
        <v>0</v>
      </c>
      <c r="G50" s="216">
        <f>S39</f>
        <v>0</v>
      </c>
      <c r="H50" s="47"/>
      <c r="I50" s="47"/>
      <c r="J50" s="47"/>
      <c r="K50" s="47"/>
      <c r="N50" s="67" t="s">
        <v>128</v>
      </c>
      <c r="O50" s="204">
        <f t="shared" si="32"/>
        <v>0</v>
      </c>
      <c r="P50" s="204">
        <f t="shared" si="28"/>
        <v>0</v>
      </c>
      <c r="Q50" s="204">
        <f t="shared" si="29"/>
        <v>0</v>
      </c>
      <c r="R50" s="204">
        <f t="shared" si="30"/>
        <v>0</v>
      </c>
      <c r="S50" s="204">
        <f t="shared" si="31"/>
        <v>0</v>
      </c>
      <c r="T50" s="200">
        <f t="shared" si="33"/>
        <v>0</v>
      </c>
      <c r="U50" s="122"/>
      <c r="W50" s="273" t="s">
        <v>69</v>
      </c>
      <c r="X50" s="275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67" t="s">
        <v>132</v>
      </c>
      <c r="O51" s="204">
        <f t="shared" si="32"/>
        <v>0</v>
      </c>
      <c r="P51" s="204">
        <f t="shared" si="28"/>
        <v>0</v>
      </c>
      <c r="Q51" s="204">
        <f t="shared" si="29"/>
        <v>0</v>
      </c>
      <c r="R51" s="204">
        <f t="shared" si="30"/>
        <v>0</v>
      </c>
      <c r="S51" s="204">
        <f t="shared" si="31"/>
        <v>0</v>
      </c>
      <c r="T51" s="201">
        <f t="shared" si="33"/>
        <v>0</v>
      </c>
      <c r="U51" s="68"/>
      <c r="W51" s="69" t="s">
        <v>62</v>
      </c>
      <c r="X51" s="101" t="s">
        <v>63</v>
      </c>
      <c r="AJ51" s="47"/>
      <c r="AK51" s="47"/>
    </row>
    <row r="52" spans="1:37" ht="18" x14ac:dyDescent="0.25">
      <c r="A52" s="47"/>
      <c r="B52" s="282" t="s">
        <v>108</v>
      </c>
      <c r="C52" s="285"/>
      <c r="D52" s="286"/>
      <c r="E52" s="47"/>
      <c r="F52" s="47"/>
      <c r="G52" s="15"/>
      <c r="H52" s="15"/>
      <c r="I52" s="47"/>
      <c r="J52" s="47"/>
      <c r="K52" s="47"/>
      <c r="N52" s="67" t="s">
        <v>34</v>
      </c>
      <c r="O52" s="205">
        <f>SUM(O46:O51)</f>
        <v>0</v>
      </c>
      <c r="P52" s="206">
        <f t="shared" ref="P52:S52" si="39">SUM(P46:P51)</f>
        <v>0</v>
      </c>
      <c r="Q52" s="206">
        <f t="shared" si="39"/>
        <v>0</v>
      </c>
      <c r="R52" s="206">
        <f t="shared" si="39"/>
        <v>0</v>
      </c>
      <c r="S52" s="207">
        <f t="shared" si="39"/>
        <v>0</v>
      </c>
      <c r="T52" s="202">
        <f>SUM(T46:T51)</f>
        <v>0</v>
      </c>
      <c r="U52" s="126">
        <f>C34</f>
        <v>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5</v>
      </c>
      <c r="C53" s="44" t="s">
        <v>70</v>
      </c>
      <c r="D53" s="45" t="s">
        <v>43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41" t="s">
        <v>112</v>
      </c>
      <c r="C54" s="217">
        <f>Y60*0.40469</f>
        <v>0</v>
      </c>
      <c r="D54" s="217">
        <f>Z60*0.40469</f>
        <v>0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41" t="s">
        <v>113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41" t="s">
        <v>114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41" t="s">
        <v>115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41" t="s">
        <v>128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73" t="s">
        <v>47</v>
      </c>
      <c r="M58" s="274"/>
      <c r="N58" s="274"/>
      <c r="O58" s="274"/>
      <c r="P58" s="274"/>
      <c r="Q58" s="274"/>
      <c r="R58" s="275"/>
      <c r="S58" s="273" t="s">
        <v>45</v>
      </c>
      <c r="T58" s="274"/>
      <c r="U58" s="274"/>
      <c r="V58" s="274"/>
      <c r="W58" s="273" t="s">
        <v>104</v>
      </c>
      <c r="X58" s="275"/>
      <c r="Y58" s="273" t="s">
        <v>105</v>
      </c>
      <c r="Z58" s="275"/>
      <c r="AJ58" s="47"/>
      <c r="AK58" s="47"/>
    </row>
    <row r="59" spans="1:37" ht="18" x14ac:dyDescent="0.25">
      <c r="A59" s="47"/>
      <c r="B59" s="41" t="s">
        <v>132</v>
      </c>
      <c r="C59" s="218">
        <f>Y73*0.40469</f>
        <v>0</v>
      </c>
      <c r="D59" s="218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0</v>
      </c>
      <c r="M59" s="212" t="s">
        <v>59</v>
      </c>
      <c r="N59" s="213" t="s">
        <v>60</v>
      </c>
      <c r="O59" s="213" t="s">
        <v>127</v>
      </c>
      <c r="P59" s="240" t="s">
        <v>44</v>
      </c>
      <c r="Q59" s="213" t="s">
        <v>58</v>
      </c>
      <c r="R59" s="214" t="s">
        <v>46</v>
      </c>
      <c r="S59" s="55" t="s">
        <v>41</v>
      </c>
      <c r="T59" s="52" t="s">
        <v>42</v>
      </c>
      <c r="U59" s="52" t="s">
        <v>2</v>
      </c>
      <c r="V59" s="52" t="s">
        <v>1</v>
      </c>
      <c r="W59" s="59" t="s">
        <v>62</v>
      </c>
      <c r="X59" s="119" t="s">
        <v>63</v>
      </c>
      <c r="Y59" s="64" t="s">
        <v>70</v>
      </c>
      <c r="Z59" s="132" t="s">
        <v>43</v>
      </c>
      <c r="AJ59" s="47"/>
      <c r="AK59" s="47"/>
    </row>
    <row r="60" spans="1:37" ht="15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53" t="s">
        <v>116</v>
      </c>
      <c r="M60" s="254">
        <v>3.7109999999999999</v>
      </c>
      <c r="N60" s="255">
        <v>1.823</v>
      </c>
      <c r="O60" s="260">
        <v>0.96</v>
      </c>
      <c r="P60" s="75">
        <f t="shared" ref="P60:P61" si="40">M60-N60</f>
        <v>1.8879999999999999</v>
      </c>
      <c r="Q60" s="87">
        <f>IFERROR((M60-N60*POWER(O60,AB32)-(P60)),0)</f>
        <v>0</v>
      </c>
      <c r="R60" s="172">
        <f t="shared" ref="R60:R61" si="41">Q60*1000</f>
        <v>0</v>
      </c>
      <c r="S60" s="134">
        <f>R60*N32*M32</f>
        <v>0</v>
      </c>
      <c r="T60" s="134">
        <f>S60+S61+S62</f>
        <v>0</v>
      </c>
      <c r="U60" s="134">
        <f>T46</f>
        <v>0</v>
      </c>
      <c r="V60" s="134">
        <f>T60-U60</f>
        <v>0</v>
      </c>
      <c r="W60" s="135"/>
      <c r="X60" s="173"/>
      <c r="Y60" s="136">
        <f>R60+R61</f>
        <v>0</v>
      </c>
      <c r="Z60" s="137">
        <f>IF(OR(M32=0,M32=1),$V$60,IF(M32&lt;1,$V$60/M32,IF(M32&gt;1,$V$60/M32,0)))</f>
        <v>0</v>
      </c>
      <c r="AJ60" s="47"/>
      <c r="AK60" s="47"/>
    </row>
    <row r="61" spans="1:37" ht="18" x14ac:dyDescent="0.25">
      <c r="A61" s="47"/>
      <c r="B61" s="282" t="s">
        <v>101</v>
      </c>
      <c r="C61" s="283"/>
      <c r="D61" s="284"/>
      <c r="E61" s="47"/>
      <c r="F61" s="47"/>
      <c r="G61" s="47"/>
      <c r="H61" s="47"/>
      <c r="I61" s="47"/>
      <c r="J61" s="47"/>
      <c r="K61" s="47"/>
      <c r="L61" s="256" t="s">
        <v>117</v>
      </c>
      <c r="M61" s="257">
        <v>3.91</v>
      </c>
      <c r="N61" s="258">
        <v>0.20300000000000001</v>
      </c>
      <c r="O61" s="262">
        <v>0.84</v>
      </c>
      <c r="P61" s="138">
        <f t="shared" si="40"/>
        <v>3.7070000000000003</v>
      </c>
      <c r="Q61" s="97">
        <f>IFERROR(((M61-N61*POWER(O61,AC32)-(P61))*W61),0)</f>
        <v>0</v>
      </c>
      <c r="R61" s="190">
        <f t="shared" si="41"/>
        <v>0</v>
      </c>
      <c r="S61" s="74">
        <f>R61*N32*M32</f>
        <v>0</v>
      </c>
      <c r="T61" s="74"/>
      <c r="U61" s="74"/>
      <c r="V61" s="74"/>
      <c r="W61" s="109">
        <f>IF(AB32&lt;$W$52,0,1)</f>
        <v>0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100</v>
      </c>
      <c r="C62" s="287">
        <f>V86</f>
        <v>0</v>
      </c>
      <c r="D62" s="288"/>
      <c r="E62" s="47"/>
      <c r="F62" s="47"/>
      <c r="G62" s="47"/>
      <c r="H62" s="47"/>
      <c r="I62" s="47"/>
      <c r="J62" s="47"/>
      <c r="K62" s="47"/>
      <c r="L62" s="225" t="s">
        <v>118</v>
      </c>
      <c r="M62" s="191">
        <v>0</v>
      </c>
      <c r="N62" s="191">
        <v>0</v>
      </c>
      <c r="O62" s="263">
        <v>0</v>
      </c>
      <c r="P62" s="191">
        <f t="shared" ref="P62" si="42">M62-N62</f>
        <v>0</v>
      </c>
      <c r="Q62" s="192">
        <f>IFERROR(((M62-N62*POWER(O62,AD32)-(P62))*X62),0)</f>
        <v>0</v>
      </c>
      <c r="R62" s="192">
        <f t="shared" ref="R62" si="43"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119</v>
      </c>
      <c r="M63" s="75">
        <v>39.4</v>
      </c>
      <c r="N63" s="75">
        <v>6.56</v>
      </c>
      <c r="O63" s="157">
        <v>0.90500000000000003</v>
      </c>
      <c r="P63" s="143">
        <f t="shared" ref="P63:P74" si="44">M63-N63</f>
        <v>32.839999999999996</v>
      </c>
      <c r="Q63" s="81">
        <f>IFERROR((M63-N63*POWER(O63,AB33)-(P63)),0)</f>
        <v>0</v>
      </c>
      <c r="R63" s="179">
        <f t="shared" ref="R63:R70" si="45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120</v>
      </c>
      <c r="M64" s="75">
        <v>19.64</v>
      </c>
      <c r="N64" s="75">
        <v>0.68</v>
      </c>
      <c r="O64" s="157">
        <v>0.875</v>
      </c>
      <c r="P64" s="75">
        <f t="shared" si="44"/>
        <v>18.96</v>
      </c>
      <c r="Q64" s="87">
        <f>IFERROR(((M64-N64*POWER(O64,AC33)-(P64))*W64),0)</f>
        <v>0</v>
      </c>
      <c r="R64" s="172">
        <f t="shared" si="45"/>
        <v>0</v>
      </c>
      <c r="S64" s="74">
        <f>R64*N33*M33</f>
        <v>0</v>
      </c>
      <c r="T64" s="74"/>
      <c r="U64" s="74"/>
      <c r="V64" s="62"/>
      <c r="W64" s="110"/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121</v>
      </c>
      <c r="M65" s="170">
        <v>34.81</v>
      </c>
      <c r="N65" s="170">
        <v>8.7119999999999997</v>
      </c>
      <c r="O65" s="264">
        <v>0.96899999999999997</v>
      </c>
      <c r="P65" s="75">
        <f t="shared" si="44"/>
        <v>26.098000000000003</v>
      </c>
      <c r="Q65" s="171">
        <f>IFERROR(((M65-N65*POWER(O65,AD33)-(P65))*X65),0)</f>
        <v>0</v>
      </c>
      <c r="R65" s="172">
        <f t="shared" si="45"/>
        <v>0</v>
      </c>
      <c r="S65" s="74">
        <f>R65*N33*M33</f>
        <v>0</v>
      </c>
      <c r="T65" s="74"/>
      <c r="U65" s="74"/>
      <c r="V65" s="62"/>
      <c r="W65" s="110"/>
      <c r="X65" s="150"/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53" t="s">
        <v>122</v>
      </c>
      <c r="M66" s="254">
        <v>12.56</v>
      </c>
      <c r="N66" s="255">
        <v>2.2770000000000001</v>
      </c>
      <c r="O66" s="260">
        <v>0.98499999999999999</v>
      </c>
      <c r="P66" s="127">
        <f t="shared" si="44"/>
        <v>10.283000000000001</v>
      </c>
      <c r="Q66" s="81">
        <f>IFERROR((M66-N66*POWER(O66,AB34)-(P66)),0)</f>
        <v>0</v>
      </c>
      <c r="R66" s="222">
        <f t="shared" si="45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84"/>
      <c r="X66" s="173"/>
      <c r="Y66" s="135">
        <f>R66+R67</f>
        <v>0</v>
      </c>
      <c r="Z66" s="154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256" t="s">
        <v>123</v>
      </c>
      <c r="M67" s="257">
        <v>15.326000000000001</v>
      </c>
      <c r="N67" s="258">
        <v>3.3029999999999999</v>
      </c>
      <c r="O67" s="262">
        <v>0.94399999999999995</v>
      </c>
      <c r="P67" s="170">
        <f t="shared" si="44"/>
        <v>12.023</v>
      </c>
      <c r="Q67" s="87">
        <f>IFERROR(((M67-N67*POWER(O67,AC34)-(P67))*W67),0)</f>
        <v>0</v>
      </c>
      <c r="R67" s="172">
        <f t="shared" si="45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6" t="s">
        <v>124</v>
      </c>
      <c r="M68" s="241">
        <v>0</v>
      </c>
      <c r="N68" s="241">
        <v>0</v>
      </c>
      <c r="O68" s="265">
        <v>0</v>
      </c>
      <c r="P68" s="223">
        <f t="shared" si="44"/>
        <v>0</v>
      </c>
      <c r="Q68" s="224">
        <f>IFERROR(((M68-N68*POWER(O68,AD34)-(P68))*X68),0)</f>
        <v>0</v>
      </c>
      <c r="R68" s="190">
        <f t="shared" si="45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0</v>
      </c>
      <c r="Y68" s="141"/>
      <c r="Z68" s="188"/>
      <c r="AJ68" s="47"/>
      <c r="AK68" s="47"/>
    </row>
    <row r="69" spans="1:37" ht="51.75" customHeight="1" x14ac:dyDescent="0.2">
      <c r="A69" s="47"/>
      <c r="B69" s="272" t="s">
        <v>106</v>
      </c>
      <c r="C69" s="272"/>
      <c r="D69" s="272"/>
      <c r="E69" s="272"/>
      <c r="F69" s="272"/>
      <c r="G69" s="272"/>
      <c r="H69" s="272"/>
      <c r="I69" s="272"/>
      <c r="J69" s="28"/>
      <c r="K69" s="28"/>
      <c r="L69" s="253" t="s">
        <v>125</v>
      </c>
      <c r="M69" s="254">
        <v>1.79</v>
      </c>
      <c r="N69" s="255">
        <v>0.98899999999999999</v>
      </c>
      <c r="O69" s="260">
        <v>0.89200000000000002</v>
      </c>
      <c r="P69" s="170">
        <f t="shared" si="44"/>
        <v>0.80100000000000005</v>
      </c>
      <c r="Q69" s="171">
        <f>IFERROR((M69-N69*POWER(O69,AB35)-(P69)),0)</f>
        <v>0</v>
      </c>
      <c r="R69" s="221">
        <f t="shared" si="45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8.75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56" t="s">
        <v>126</v>
      </c>
      <c r="M70" s="257">
        <v>1.81</v>
      </c>
      <c r="N70" s="258">
        <v>0.28599999999999998</v>
      </c>
      <c r="O70" s="262">
        <v>0.92600000000000005</v>
      </c>
      <c r="P70" s="138">
        <f t="shared" si="44"/>
        <v>1.524</v>
      </c>
      <c r="Q70" s="97">
        <f>IFERROR(((M70-N70*POWER(O70,AC35)-(P70))*W70),0)</f>
        <v>0</v>
      </c>
      <c r="R70" s="190">
        <f t="shared" si="45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72" t="s">
        <v>76</v>
      </c>
      <c r="C71" s="272"/>
      <c r="D71" s="272"/>
      <c r="E71" s="272"/>
      <c r="F71" s="272"/>
      <c r="G71" s="272"/>
      <c r="H71" s="272"/>
      <c r="I71" s="272"/>
      <c r="J71" s="28"/>
      <c r="K71" s="28"/>
      <c r="L71" s="259" t="s">
        <v>129</v>
      </c>
      <c r="M71" s="254">
        <v>1.6080000000000001</v>
      </c>
      <c r="N71" s="255">
        <v>0.876</v>
      </c>
      <c r="O71" s="260">
        <v>0.95699999999999996</v>
      </c>
      <c r="P71" s="170">
        <f>M71-N71</f>
        <v>0.7320000000000001</v>
      </c>
      <c r="Q71" s="171">
        <f>IFERROR((M71-N71*POWER(O71,AB36)-(P71)),0)</f>
        <v>0</v>
      </c>
      <c r="R71" s="171">
        <f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56" t="s">
        <v>130</v>
      </c>
      <c r="M72" s="271">
        <v>1.841</v>
      </c>
      <c r="N72" s="151">
        <v>0.44600000000000001</v>
      </c>
      <c r="O72" s="262">
        <v>0.9</v>
      </c>
      <c r="P72" s="138">
        <f t="shared" si="44"/>
        <v>1.395</v>
      </c>
      <c r="Q72" s="97">
        <f>IFERROR(((M72-N72*POWER(O72,AC36)-(P72))*X72),0)</f>
        <v>0</v>
      </c>
      <c r="R72" s="97">
        <f t="shared" ref="R72" si="46">Q72*1000</f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72" t="s">
        <v>80</v>
      </c>
      <c r="C73" s="272"/>
      <c r="D73" s="272"/>
      <c r="E73" s="272"/>
      <c r="F73" s="272"/>
      <c r="G73" s="272"/>
      <c r="H73" s="272"/>
      <c r="I73" s="272"/>
      <c r="J73" s="28"/>
      <c r="K73" s="28"/>
      <c r="L73" s="269" t="s">
        <v>133</v>
      </c>
      <c r="M73" s="254">
        <v>1.6623000000000001</v>
      </c>
      <c r="N73" s="255">
        <v>0.97850000000000004</v>
      </c>
      <c r="O73" s="266">
        <v>0.87949999999999995</v>
      </c>
      <c r="P73" s="170">
        <f>M73-N73</f>
        <v>0.68380000000000007</v>
      </c>
      <c r="Q73" s="171">
        <f>IFERROR((M73-N73*POWER(O73,AC37)-(P73)),0)</f>
        <v>0</v>
      </c>
      <c r="R73" s="171">
        <f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44"/>
      <c r="X73" s="176"/>
      <c r="Y73" s="242">
        <f>R73+R74</f>
        <v>0</v>
      </c>
      <c r="Z73" s="219">
        <f>IF(OR(M37=0,M37=1),$V$73,IF(M37&lt;1,$V$73/M37,IF(M37&gt;1,$V$73/M37,0)))</f>
        <v>0</v>
      </c>
      <c r="AJ73" s="28"/>
      <c r="AK73" s="28"/>
    </row>
    <row r="74" spans="1:37" ht="20.25" customHeight="1" x14ac:dyDescent="0.25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70" t="s">
        <v>134</v>
      </c>
      <c r="M74" s="257">
        <v>1.7612000000000001</v>
      </c>
      <c r="N74" s="258">
        <v>9.8900000000000002E-2</v>
      </c>
      <c r="O74" s="267">
        <v>0.9</v>
      </c>
      <c r="P74" s="138">
        <f t="shared" si="44"/>
        <v>1.6623000000000001</v>
      </c>
      <c r="Q74" s="97">
        <f>IFERROR(((M74-N74*POWER(O74,AD37)-(P74))*X74),0)</f>
        <v>0</v>
      </c>
      <c r="R74" s="97">
        <f t="shared" ref="R74" si="47">Q74*1000</f>
        <v>0</v>
      </c>
      <c r="S74" s="139">
        <f>R74*N37*M37</f>
        <v>0</v>
      </c>
      <c r="T74" s="138"/>
      <c r="U74" s="220"/>
      <c r="V74" s="220"/>
      <c r="W74" s="149"/>
      <c r="X74" s="150">
        <f>IF(AC37&lt;$X$52,0,1)</f>
        <v>0</v>
      </c>
      <c r="Y74" s="243"/>
      <c r="Z74" s="150"/>
      <c r="AJ74" s="47"/>
      <c r="AK74" s="47"/>
    </row>
    <row r="75" spans="1:37" ht="15" x14ac:dyDescent="0.2">
      <c r="A75" s="47"/>
      <c r="B75" s="272" t="s">
        <v>107</v>
      </c>
      <c r="C75" s="272"/>
      <c r="D75" s="272"/>
      <c r="E75" s="272"/>
      <c r="F75" s="272"/>
      <c r="G75" s="272"/>
      <c r="H75" s="272"/>
      <c r="I75" s="272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53</v>
      </c>
      <c r="U84" s="77"/>
      <c r="V84" s="130"/>
    </row>
    <row r="85" spans="2:24" x14ac:dyDescent="0.2">
      <c r="T85" s="55" t="s">
        <v>54</v>
      </c>
      <c r="U85" s="52" t="s">
        <v>55</v>
      </c>
      <c r="V85" s="53" t="s">
        <v>56</v>
      </c>
    </row>
    <row r="86" spans="2:24" x14ac:dyDescent="0.2">
      <c r="S86" s="159"/>
      <c r="T86" s="123">
        <f>SUM(T60:T74)</f>
        <v>0</v>
      </c>
      <c r="U86" s="124">
        <f>SUM(U60:U74)</f>
        <v>0</v>
      </c>
      <c r="V86" s="125">
        <f>SUM(V60:V74)</f>
        <v>0</v>
      </c>
      <c r="W86" s="160"/>
      <c r="X86" s="72"/>
    </row>
    <row r="87" spans="2:24" x14ac:dyDescent="0.2">
      <c r="S87" s="159"/>
    </row>
    <row r="88" spans="2:24" x14ac:dyDescent="0.2">
      <c r="I88" s="48" t="s">
        <v>94</v>
      </c>
      <c r="S88" s="120"/>
    </row>
  </sheetData>
  <mergeCells count="28"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2016-06-01T17:23:24Z</dcterms:modified>
</cp:coreProperties>
</file>