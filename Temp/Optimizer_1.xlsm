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14370" windowHeight="798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G49" i="2" l="1"/>
  <c r="F49" i="2"/>
  <c r="E49" i="2"/>
  <c r="D49" i="2"/>
  <c r="C49" i="2"/>
  <c r="X23" i="2"/>
  <c r="W23" i="2"/>
  <c r="V23" i="2"/>
  <c r="U23" i="2"/>
  <c r="T23" i="2"/>
  <c r="T18" i="2" l="1"/>
  <c r="X20" i="2"/>
  <c r="X19" i="2"/>
  <c r="X18" i="2"/>
  <c r="W20" i="2"/>
  <c r="W19" i="2"/>
  <c r="W18" i="2"/>
  <c r="V20" i="2"/>
  <c r="V19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R10" i="2"/>
  <c r="Q9" i="2"/>
  <c r="Q10" i="2" l="1"/>
  <c r="Q11" i="2"/>
  <c r="Q12" i="2"/>
  <c r="Q13" i="2"/>
  <c r="P60" i="2" l="1"/>
  <c r="P61" i="2"/>
  <c r="O38" i="2"/>
  <c r="P38" i="2"/>
  <c r="S38" i="2"/>
  <c r="X22" i="2"/>
  <c r="X21" i="2"/>
  <c r="G43" i="2"/>
  <c r="C22" i="2"/>
  <c r="P74" i="2" l="1"/>
  <c r="P73" i="2"/>
  <c r="P72" i="2"/>
  <c r="P71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B36" i="2" l="1"/>
  <c r="AC36" i="2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X72" i="2" l="1"/>
  <c r="Q72" i="2" s="1"/>
  <c r="Q71" i="2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3" i="2" s="1"/>
  <c r="U86" i="2" s="1"/>
  <c r="M38" i="2"/>
  <c r="AD35" i="2"/>
  <c r="AD34" i="2"/>
  <c r="AD33" i="2"/>
  <c r="Q65" i="2" s="1"/>
  <c r="AD32" i="2"/>
  <c r="AC32" i="2"/>
  <c r="AB32" i="2"/>
  <c r="W61" i="2" l="1"/>
  <c r="Q61" i="2" s="1"/>
  <c r="R61" i="2" s="1"/>
  <c r="Q60" i="2"/>
  <c r="R60" i="2" s="1"/>
  <c r="S60" i="2" s="1"/>
  <c r="AD37" i="2"/>
  <c r="AC37" i="2"/>
  <c r="X62" i="2"/>
  <c r="Q62" i="2" s="1"/>
  <c r="R62" i="2" s="1"/>
  <c r="S62" i="2" s="1"/>
  <c r="T52" i="2"/>
  <c r="AA38" i="2"/>
  <c r="Z38" i="2"/>
  <c r="AB35" i="2"/>
  <c r="AB33" i="2"/>
  <c r="Q63" i="2" s="1"/>
  <c r="AB34" i="2"/>
  <c r="AC34" i="2"/>
  <c r="X68" i="2" s="1"/>
  <c r="Q68" i="2" s="1"/>
  <c r="AB37" i="2"/>
  <c r="AC33" i="2"/>
  <c r="Q64" i="2" s="1"/>
  <c r="AC35" i="2"/>
  <c r="V38" i="2"/>
  <c r="U38" i="2"/>
  <c r="X38" i="2"/>
  <c r="W38" i="2"/>
  <c r="W70" i="2" l="1"/>
  <c r="Q70" i="2" s="1"/>
  <c r="Q69" i="2"/>
  <c r="R69" i="2" s="1"/>
  <c r="S69" i="2" s="1"/>
  <c r="W67" i="2"/>
  <c r="Q67" i="2" s="1"/>
  <c r="Q66" i="2"/>
  <c r="R66" i="2" s="1"/>
  <c r="S66" i="2" s="1"/>
  <c r="Q73" i="2"/>
  <c r="R73" i="2" s="1"/>
  <c r="X74" i="2"/>
  <c r="Q74" i="2" s="1"/>
  <c r="R71" i="2"/>
  <c r="R63" i="2"/>
  <c r="S63" i="2" s="1"/>
  <c r="Y60" i="2"/>
  <c r="C54" i="2" s="1"/>
  <c r="AD38" i="2"/>
  <c r="S61" i="2"/>
  <c r="T60" i="2" s="1"/>
  <c r="AB38" i="2"/>
  <c r="AC38" i="2"/>
  <c r="R74" i="2" l="1"/>
  <c r="R72" i="2"/>
  <c r="R68" i="2"/>
  <c r="S68" i="2" s="1"/>
  <c r="R65" i="2"/>
  <c r="S65" i="2" s="1"/>
  <c r="S71" i="2"/>
  <c r="S73" i="2"/>
  <c r="V60" i="2"/>
  <c r="R70" i="2"/>
  <c r="Y69" i="2" s="1"/>
  <c r="C57" i="2" s="1"/>
  <c r="R67" i="2"/>
  <c r="Y66" i="2" s="1"/>
  <c r="C56" i="2" s="1"/>
  <c r="R64" i="2"/>
  <c r="Y63" i="2" s="1"/>
  <c r="C55" i="2" s="1"/>
  <c r="S74" i="2" l="1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l="1"/>
  <c r="V63" i="2" s="1"/>
  <c r="Z63" i="2" s="1"/>
  <c r="D55" i="2" s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<sst xmlns="http://schemas.openxmlformats.org/spreadsheetml/2006/main" count="186" uniqueCount="135">
  <si>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</si>
  <si>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</si>
  <si>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</si>
  <si>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</si>
  <si>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</si>
  <si>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</si>
  <si>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</si>
  <si>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</si>
  <si>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</si>
  <si>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</si>
  <si>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</si>
  <si>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</si>
  <si>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</si>
  <si>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</si>
  <si>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</si>
  <si>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</si>
  <si>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</si>
  <si>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</si>
  <si>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</si>
  <si>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</si>
  <si>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</si>
  <si>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</si>
  <si>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</si>
  <si>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</si>
  <si>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</si>
  <si>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</si>
  <si>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</si>
  <si>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</si>
  <si>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</si>
  <si>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</si>
  <si>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</si>
  <si>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</si>
  <si>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</si>
  <si>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</si>
  <si>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</si>
  <si>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</si>
  <si>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</si>
  <si>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</si>
  <si>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</si>
  <si>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</si>
  <si>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</si>
  <si>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</si>
  <si>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</si>
  <si>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</si>
  <si>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</si>
  <si>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</si>
  <si>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</si>
  <si>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</si>
  <si>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</si>
  <si>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</si>
  <si>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</si>
  <si>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</si>
  <si>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</si>
  <si>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</si>
  <si>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</si>
  <si>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</si>
  <si>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</si>
  <si>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</si>
  <si>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</si>
  <si>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</si>
  <si>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</si>
  <si>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</si>
  <si>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</si>
  <si>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</si>
  <si>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</si>
  <si>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</si>
  <si>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</si>
  <si>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</si>
  <si>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</si>
  <si>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</si>
  <si>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</si>
  <si>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</si>
  <si>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</si>
  <si>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</si>
  <si>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</si>
  <si>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</si>
  <si>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</si>
  <si>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</si>
  <si>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</si>
  <si>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</si>
  <si>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</si>
  <si>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</si>
  <si>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</si>
  <si>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</si>
  <si>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</si>
  <si>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</si>
  <si>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</si>
  <si>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</si>
  <si>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</si>
  <si>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</si>
  <si>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</si>
  <si>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</si>
  <si>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</si>
  <si>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</si>
  <si>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</si>
  <si>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</si>
  <si>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</si>
  <si>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</si>
  <si>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</si>
  <si>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</si>
  <si>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</si>
  <si>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</si>
  <si>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</si>
  <si>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</si>
  <si>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</si>
  <si>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</si>
  <si>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</si>
  <si>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</si>
  <si>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</si>
  <si>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</si>
  <si>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</si>
  <si>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</si>
  <si>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</si>
  <si>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</si>
  <si>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Irish potato</t>
  </si>
  <si>
    <t>Beans</t>
  </si>
  <si>
    <t>Groundnut, unshelled</t>
  </si>
  <si>
    <t>Soybean</t>
  </si>
  <si>
    <t>Maize N</t>
  </si>
  <si>
    <t>Maize P</t>
  </si>
  <si>
    <t>Maize K</t>
  </si>
  <si>
    <t>Banana N</t>
  </si>
  <si>
    <t>Banana P</t>
  </si>
  <si>
    <t>Banana K</t>
  </si>
  <si>
    <t>Irish potato N</t>
  </si>
  <si>
    <t>Irish potato P</t>
  </si>
  <si>
    <t>Irish potato K</t>
  </si>
  <si>
    <t xml:space="preserve">Beans N </t>
  </si>
  <si>
    <t>Beans P</t>
  </si>
  <si>
    <t xml:space="preserve">Soybeans P </t>
  </si>
  <si>
    <t>Soybeans K</t>
  </si>
  <si>
    <t>Groundnuts, unshelled P</t>
  </si>
  <si>
    <t>Groundnuts, unshelled K</t>
  </si>
  <si>
    <t>Coefficient 3</t>
  </si>
  <si>
    <t>NPK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</si>
</sst>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92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2" fontId="14" fillId="0" borderId="7" xfId="0" applyNumberFormat="1" applyFont="1" applyFill="1" applyBorder="1" applyAlignment="1">
      <alignment horizontal="center"/>
    </xf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9" xfId="0" applyFont="1" applyFill="1" applyBorder="1"/>
    <xf numFmtId="0" fontId="14" fillId="0" borderId="5" xfId="0" applyFont="1" applyBorder="1" applyAlignment="1">
      <alignment horizontal="center"/>
    </xf>
    <xf numFmtId="2" fontId="14" fillId="0" borderId="9" xfId="0" applyNumberFormat="1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2" fontId="14" fillId="3" borderId="0" xfId="0" applyNumberFormat="1" applyFont="1" applyFill="1" applyBorder="1" applyAlignment="1">
      <alignment horizontal="center" vertic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2" xfId="0" applyFont="1" applyFill="1" applyBorder="1"/>
    <xf numFmtId="0" fontId="14" fillId="0" borderId="3" xfId="0" applyFont="1" applyFill="1" applyBorder="1" applyAlignment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2" fontId="14" fillId="0" borderId="7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 vertical="center"/>
    </xf>
    <xf numFmtId="2" fontId="14" fillId="0" borderId="15" xfId="0" applyNumberFormat="1" applyFont="1" applyFill="1" applyBorder="1" applyAlignment="1">
      <alignment horizontal="center" vertical="center"/>
    </xf>
    <xf numFmtId="0" fontId="14" fillId="0" borderId="1" xfId="0" applyFont="1" applyFill="1" applyBorder="1"/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Fill="1" applyBorder="1" applyAlignment="1">
      <alignment vertical="center"/>
    </xf>
    <xf numFmtId="0" fontId="14" fillId="0" borderId="2" xfId="0" applyFont="1" applyBorder="1"/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0" fillId="0" borderId="1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top"/>
    </xf>
    <xf numFmtId="0" fontId="0" fillId="0" borderId="15" xfId="0" applyFont="1" applyFill="1" applyBorder="1" applyAlignment="1">
      <alignment horizontal="center"/>
    </xf>
    <xf numFmtId="0" fontId="18" fillId="0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top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15" fillId="5" borderId="1" xfId="0" applyFont="1" applyFill="1" applyBorder="1"/>
    <xf numFmtId="0" fontId="15" fillId="5" borderId="2" xfId="0" applyFont="1" applyFill="1" applyBorder="1" applyAlignment="1"/>
    <xf numFmtId="0" fontId="15" fillId="5" borderId="2" xfId="0" applyFont="1" applyFill="1" applyBorder="1"/>
    <xf numFmtId="0" fontId="15" fillId="5" borderId="3" xfId="0" applyFont="1" applyFill="1" applyBorder="1" applyAlignment="1"/>
    <xf numFmtId="0" fontId="15" fillId="4" borderId="1" xfId="0" applyFont="1" applyFill="1" applyBorder="1"/>
    <xf numFmtId="0" fontId="15" fillId="4" borderId="2" xfId="0" applyFont="1" applyFill="1" applyBorder="1" applyAlignment="1"/>
    <xf numFmtId="0" fontId="15" fillId="4" borderId="2" xfId="0" applyFont="1" applyFill="1" applyBorder="1"/>
    <xf numFmtId="0" fontId="15" fillId="4" borderId="3" xfId="0" applyFont="1" applyFill="1" applyBorder="1" applyAlignment="1"/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Eastern 1400-1800m,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93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72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73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97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86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22" zoomScale="90" zoomScaleNormal="90" workbookViewId="0">
      <selection activeCell="B38" sqref="B38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61</v>
      </c>
      <c r="Q8" s="52" t="s">
        <v>18</v>
      </c>
      <c r="R8" s="52" t="s">
        <v>20</v>
      </c>
      <c r="S8" s="53" t="s">
        <v>19</v>
      </c>
      <c r="T8" s="54" t="s">
        <v>35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83</v>
      </c>
      <c r="C10" s="283" t="s">
        <v>92</v>
      </c>
      <c r="D10" s="283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84</v>
      </c>
      <c r="C11" s="283" t="s">
        <v>92</v>
      </c>
      <c r="D11" s="283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85</v>
      </c>
      <c r="C12" s="284">
        <f ca="1">TODAY()</f>
        <v>42472</v>
      </c>
      <c r="D12" s="284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88" t="s">
        <v>4</v>
      </c>
      <c r="C14" s="289"/>
      <c r="D14" s="290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110</v>
      </c>
      <c r="D15" s="5" t="s">
        <v>102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262" t="s">
        <v>112</v>
      </c>
      <c r="C16" s="35"/>
      <c r="D16" s="35"/>
      <c r="E16" s="65"/>
      <c r="F16" s="47"/>
      <c r="G16" s="47"/>
      <c r="H16" s="47"/>
      <c r="I16" s="47"/>
      <c r="J16" s="47"/>
      <c r="K16" s="47"/>
      <c r="N16" s="267" t="s">
        <v>31</v>
      </c>
      <c r="O16" s="268"/>
      <c r="P16" s="268"/>
      <c r="Q16" s="268"/>
      <c r="R16" s="268"/>
      <c r="S16" s="268"/>
      <c r="T16" s="268"/>
      <c r="U16" s="268"/>
      <c r="V16" s="268"/>
      <c r="W16" s="268"/>
      <c r="X16" s="269"/>
      <c r="Y16" s="267" t="s">
        <v>98</v>
      </c>
      <c r="Z16" s="268"/>
      <c r="AA16" s="269"/>
      <c r="AJ16" s="47"/>
      <c r="AK16" s="47"/>
    </row>
    <row r="17" spans="1:37" ht="18" x14ac:dyDescent="0.25">
      <c r="A17" s="47"/>
      <c r="B17" s="263" t="s">
        <v>113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5</v>
      </c>
      <c r="O17" s="59" t="s">
        <v>23</v>
      </c>
      <c r="P17" s="73" t="s">
        <v>24</v>
      </c>
      <c r="Q17" s="73" t="s">
        <v>25</v>
      </c>
      <c r="R17" s="73" t="s">
        <v>26</v>
      </c>
      <c r="S17" s="75" t="str">
        <f>P13&amp;" Min"</f>
        <v>NPK Min</v>
      </c>
      <c r="T17" s="76" t="s">
        <v>27</v>
      </c>
      <c r="U17" s="77" t="s">
        <v>28</v>
      </c>
      <c r="V17" s="77" t="s">
        <v>29</v>
      </c>
      <c r="W17" s="77" t="s">
        <v>30</v>
      </c>
      <c r="X17" s="78" t="str">
        <f>P13&amp;" Max"</f>
        <v>NPK Max</v>
      </c>
      <c r="Y17" s="64" t="s">
        <v>65</v>
      </c>
      <c r="Z17" s="75" t="s">
        <v>66</v>
      </c>
      <c r="AA17" s="53" t="s">
        <v>68</v>
      </c>
      <c r="AJ17" s="47"/>
      <c r="AK17" s="47"/>
    </row>
    <row r="18" spans="1:37" ht="18" x14ac:dyDescent="0.25">
      <c r="A18" s="47"/>
      <c r="B18" s="263" t="s">
        <v>114</v>
      </c>
      <c r="C18" s="35"/>
      <c r="D18" s="35"/>
      <c r="E18" s="47"/>
      <c r="F18" s="47"/>
      <c r="G18" s="47"/>
      <c r="H18" s="47"/>
      <c r="I18" s="47"/>
      <c r="J18" s="47"/>
      <c r="K18" s="47"/>
      <c r="N18" s="226" t="s">
        <v>112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264" t="s">
        <v>115</v>
      </c>
      <c r="C19" s="35"/>
      <c r="D19" s="35"/>
      <c r="E19" s="65"/>
      <c r="F19" s="47"/>
      <c r="G19" s="47"/>
      <c r="H19" s="47"/>
      <c r="I19" s="47"/>
      <c r="J19" s="47"/>
      <c r="K19" s="47"/>
      <c r="N19" s="169" t="s">
        <v>113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264" t="s">
        <v>117</v>
      </c>
      <c r="C20" s="35"/>
      <c r="D20" s="35"/>
      <c r="E20" s="65"/>
      <c r="F20" s="47"/>
      <c r="G20" s="47"/>
      <c r="H20" s="47"/>
      <c r="I20" s="47"/>
      <c r="J20" s="47"/>
      <c r="K20" s="47"/>
      <c r="N20" s="215" t="s">
        <v>114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65" t="s">
        <v>116</v>
      </c>
      <c r="C21" s="36"/>
      <c r="D21" s="36"/>
      <c r="E21" s="65"/>
      <c r="F21" s="47"/>
      <c r="G21" s="47"/>
      <c r="H21" s="47"/>
      <c r="I21" s="47"/>
      <c r="J21" s="47"/>
      <c r="K21" s="47"/>
      <c r="N21" s="169" t="s">
        <v>115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111</v>
      </c>
      <c r="C22" s="93">
        <f>SUM(C16:C21)</f>
        <v>0</v>
      </c>
      <c r="D22" s="94"/>
      <c r="E22" s="47"/>
      <c r="F22" s="47"/>
      <c r="G22" s="47"/>
      <c r="H22" s="47"/>
      <c r="I22" s="47"/>
      <c r="J22" s="47"/>
      <c r="K22" s="47"/>
      <c r="N22" s="215" t="s">
        <v>117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16" t="s">
        <v>116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85" t="s">
        <v>6</v>
      </c>
      <c r="C24" s="286"/>
      <c r="D24" s="286"/>
      <c r="E24" s="286"/>
      <c r="F24" s="287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75</v>
      </c>
      <c r="D25" s="20" t="s">
        <v>81</v>
      </c>
      <c r="E25" s="19" t="s">
        <v>82</v>
      </c>
      <c r="F25" s="21" t="s">
        <v>64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61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79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78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77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134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7" t="s">
        <v>33</v>
      </c>
      <c r="M30" s="268"/>
      <c r="N30" s="269"/>
      <c r="O30" s="270" t="s">
        <v>88</v>
      </c>
      <c r="P30" s="271"/>
      <c r="Q30" s="271"/>
      <c r="R30" s="271"/>
      <c r="S30" s="272"/>
      <c r="T30" s="267" t="s">
        <v>32</v>
      </c>
      <c r="U30" s="268"/>
      <c r="V30" s="268"/>
      <c r="W30" s="268"/>
      <c r="X30" s="268"/>
      <c r="Y30" s="268"/>
      <c r="Z30" s="268"/>
      <c r="AA30" s="268"/>
      <c r="AB30" s="267" t="s">
        <v>67</v>
      </c>
      <c r="AC30" s="268"/>
      <c r="AD30" s="269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5</v>
      </c>
      <c r="M31" s="51" t="s">
        <v>22</v>
      </c>
      <c r="N31" s="55" t="s">
        <v>3</v>
      </c>
      <c r="O31" s="102" t="s">
        <v>57</v>
      </c>
      <c r="P31" s="103" t="s">
        <v>89</v>
      </c>
      <c r="Q31" s="103" t="s">
        <v>90</v>
      </c>
      <c r="R31" s="103" t="s">
        <v>91</v>
      </c>
      <c r="S31" s="104" t="str">
        <f>P13&amp;" kg"</f>
        <v>NPK kg</v>
      </c>
      <c r="T31" s="76" t="s">
        <v>36</v>
      </c>
      <c r="U31" s="77" t="s">
        <v>37</v>
      </c>
      <c r="V31" s="77" t="s">
        <v>38</v>
      </c>
      <c r="W31" s="77" t="s">
        <v>39</v>
      </c>
      <c r="X31" s="77" t="s">
        <v>40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65</v>
      </c>
      <c r="AC31" s="75" t="s">
        <v>66</v>
      </c>
      <c r="AD31" s="53" t="s">
        <v>68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26" t="s">
        <v>112</v>
      </c>
      <c r="M32" s="231">
        <f>C16*0.404686</f>
        <v>0</v>
      </c>
      <c r="N32" s="189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4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85" t="s">
        <v>9</v>
      </c>
      <c r="C33" s="287"/>
      <c r="D33" s="91"/>
      <c r="E33" s="91"/>
      <c r="F33" s="91"/>
      <c r="G33" s="47"/>
      <c r="H33" s="47"/>
      <c r="I33" s="47"/>
      <c r="J33" s="47"/>
      <c r="K33" s="47"/>
      <c r="L33" s="169" t="s">
        <v>113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5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2"/>
      <c r="D34" s="26"/>
      <c r="E34" s="17"/>
      <c r="F34" s="91"/>
      <c r="G34" s="47"/>
      <c r="H34" s="47"/>
      <c r="I34" s="47"/>
      <c r="J34" s="47"/>
      <c r="K34" s="47"/>
      <c r="L34" s="229" t="s">
        <v>114</v>
      </c>
      <c r="M34" s="237">
        <f t="shared" si="5"/>
        <v>0</v>
      </c>
      <c r="N34" s="238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9">
        <v>0</v>
      </c>
      <c r="T34" s="185">
        <f t="shared" si="6"/>
        <v>0</v>
      </c>
      <c r="U34" s="240">
        <f t="shared" si="7"/>
        <v>0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6">
        <f t="shared" si="4"/>
        <v>0</v>
      </c>
      <c r="AC34" s="242">
        <f t="shared" si="4"/>
        <v>0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91"/>
      <c r="C35" s="291"/>
      <c r="D35" s="37"/>
      <c r="E35" s="65"/>
      <c r="F35" s="91"/>
      <c r="G35" s="47"/>
      <c r="H35" s="47"/>
      <c r="I35" s="47"/>
      <c r="J35" s="47"/>
      <c r="K35" s="47"/>
      <c r="L35" s="169" t="s">
        <v>115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5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15" t="s">
        <v>117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5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16" t="s">
        <v>116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7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34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103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76" t="s">
        <v>74</v>
      </c>
      <c r="C41" s="277"/>
      <c r="D41" s="277"/>
      <c r="E41" s="277"/>
      <c r="F41" s="277"/>
      <c r="G41" s="278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73" t="s">
        <v>109</v>
      </c>
      <c r="D42" s="274"/>
      <c r="E42" s="274"/>
      <c r="F42" s="274"/>
      <c r="G42" s="275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8" t="s">
        <v>112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67" t="s">
        <v>48</v>
      </c>
      <c r="O44" s="268"/>
      <c r="P44" s="268"/>
      <c r="Q44" s="268"/>
      <c r="R44" s="268"/>
      <c r="S44" s="268"/>
      <c r="T44" s="268"/>
      <c r="U44" s="272"/>
      <c r="Y44" s="73"/>
      <c r="AJ44" s="47"/>
      <c r="AK44" s="47"/>
    </row>
    <row r="45" spans="1:37" ht="18" x14ac:dyDescent="0.25">
      <c r="A45" s="47"/>
      <c r="B45" s="259" t="s">
        <v>113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30" t="s">
        <v>5</v>
      </c>
      <c r="O45" s="59" t="s">
        <v>49</v>
      </c>
      <c r="P45" s="73" t="s">
        <v>50</v>
      </c>
      <c r="Q45" s="73" t="s">
        <v>51</v>
      </c>
      <c r="R45" s="73" t="s">
        <v>52</v>
      </c>
      <c r="S45" s="119" t="str">
        <f>P13</f>
        <v>NPK</v>
      </c>
      <c r="T45" s="64" t="s">
        <v>99</v>
      </c>
      <c r="U45" s="101" t="s">
        <v>9</v>
      </c>
      <c r="Y45" s="73"/>
      <c r="AJ45" s="47"/>
      <c r="AK45" s="47"/>
    </row>
    <row r="46" spans="1:37" ht="18" x14ac:dyDescent="0.25">
      <c r="A46" s="47"/>
      <c r="B46" s="259" t="s">
        <v>114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226" t="s">
        <v>112</v>
      </c>
      <c r="O46" s="203">
        <f>O32*$T$9</f>
        <v>0</v>
      </c>
      <c r="P46" s="203">
        <f t="shared" ref="P46:P51" si="28">P32*$T$10</f>
        <v>0</v>
      </c>
      <c r="Q46" s="203">
        <f t="shared" ref="Q46:Q51" si="29">Q32*$T$11</f>
        <v>0</v>
      </c>
      <c r="R46" s="203">
        <f t="shared" ref="R46:R51" si="30">R32*$T$12</f>
        <v>0</v>
      </c>
      <c r="S46" s="203">
        <f t="shared" ref="S46:S51" si="31">S32*$T$13</f>
        <v>0</v>
      </c>
      <c r="T46" s="199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260" t="s">
        <v>115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169" t="s">
        <v>113</v>
      </c>
      <c r="O47" s="204">
        <f t="shared" ref="O47:O51" si="32">O33*$T$9</f>
        <v>0</v>
      </c>
      <c r="P47" s="204">
        <f t="shared" si="28"/>
        <v>0</v>
      </c>
      <c r="Q47" s="204">
        <f t="shared" si="29"/>
        <v>0</v>
      </c>
      <c r="R47" s="204">
        <f>R33*$T$12</f>
        <v>0</v>
      </c>
      <c r="S47" s="204">
        <f t="shared" si="31"/>
        <v>0</v>
      </c>
      <c r="T47" s="200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260" t="s">
        <v>117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215" t="s">
        <v>114</v>
      </c>
      <c r="O48" s="204">
        <f t="shared" si="32"/>
        <v>0</v>
      </c>
      <c r="P48" s="204">
        <f t="shared" si="28"/>
        <v>0</v>
      </c>
      <c r="Q48" s="204">
        <f t="shared" si="29"/>
        <v>0</v>
      </c>
      <c r="R48" s="204">
        <f t="shared" si="30"/>
        <v>0</v>
      </c>
      <c r="S48" s="204">
        <f t="shared" si="31"/>
        <v>0</v>
      </c>
      <c r="T48" s="200">
        <f t="shared" si="33"/>
        <v>0</v>
      </c>
      <c r="U48" s="121"/>
      <c r="AJ48" s="47"/>
      <c r="AK48" s="47"/>
    </row>
    <row r="49" spans="1:37" ht="18" x14ac:dyDescent="0.25">
      <c r="A49" s="47"/>
      <c r="B49" s="261" t="s">
        <v>116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169" t="s">
        <v>115</v>
      </c>
      <c r="O49" s="204">
        <f t="shared" si="32"/>
        <v>0</v>
      </c>
      <c r="P49" s="204">
        <f t="shared" si="28"/>
        <v>0</v>
      </c>
      <c r="Q49" s="204">
        <f t="shared" si="29"/>
        <v>0</v>
      </c>
      <c r="R49" s="204">
        <f t="shared" si="30"/>
        <v>0</v>
      </c>
      <c r="S49" s="204">
        <f t="shared" si="31"/>
        <v>0</v>
      </c>
      <c r="T49" s="200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103</v>
      </c>
      <c r="C50" s="217">
        <f>O39</f>
        <v>0</v>
      </c>
      <c r="D50" s="217">
        <f>P39</f>
        <v>0</v>
      </c>
      <c r="E50" s="217">
        <f>Q39</f>
        <v>0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15" t="s">
        <v>117</v>
      </c>
      <c r="O50" s="204">
        <f t="shared" si="32"/>
        <v>0</v>
      </c>
      <c r="P50" s="204">
        <f t="shared" si="28"/>
        <v>0</v>
      </c>
      <c r="Q50" s="204">
        <f t="shared" si="29"/>
        <v>0</v>
      </c>
      <c r="R50" s="204">
        <f t="shared" si="30"/>
        <v>0</v>
      </c>
      <c r="S50" s="204">
        <f t="shared" si="31"/>
        <v>0</v>
      </c>
      <c r="T50" s="200">
        <f t="shared" si="33"/>
        <v>0</v>
      </c>
      <c r="U50" s="122"/>
      <c r="W50" s="267" t="s">
        <v>69</v>
      </c>
      <c r="X50" s="269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16" t="s">
        <v>116</v>
      </c>
      <c r="O51" s="204">
        <f t="shared" si="32"/>
        <v>0</v>
      </c>
      <c r="P51" s="204">
        <f t="shared" si="28"/>
        <v>0</v>
      </c>
      <c r="Q51" s="204">
        <f t="shared" si="29"/>
        <v>0</v>
      </c>
      <c r="R51" s="204">
        <f t="shared" si="30"/>
        <v>0</v>
      </c>
      <c r="S51" s="204">
        <f t="shared" si="31"/>
        <v>0</v>
      </c>
      <c r="T51" s="201">
        <f t="shared" si="33"/>
        <v>0</v>
      </c>
      <c r="U51" s="68"/>
      <c r="W51" s="69" t="s">
        <v>62</v>
      </c>
      <c r="X51" s="101" t="s">
        <v>63</v>
      </c>
      <c r="AJ51" s="47"/>
      <c r="AK51" s="47"/>
    </row>
    <row r="52" spans="1:37" ht="18" x14ac:dyDescent="0.25">
      <c r="A52" s="47"/>
      <c r="B52" s="276" t="s">
        <v>108</v>
      </c>
      <c r="C52" s="279"/>
      <c r="D52" s="280"/>
      <c r="E52" s="47"/>
      <c r="F52" s="47"/>
      <c r="G52" s="15"/>
      <c r="H52" s="15"/>
      <c r="I52" s="47"/>
      <c r="J52" s="47"/>
      <c r="K52" s="47"/>
      <c r="N52" s="67" t="s">
        <v>34</v>
      </c>
      <c r="O52" s="205">
        <f>SUM(O46:O51)</f>
        <v>0</v>
      </c>
      <c r="P52" s="206">
        <f t="shared" ref="P52:S52" si="39">SUM(P46:P51)</f>
        <v>0</v>
      </c>
      <c r="Q52" s="206">
        <f t="shared" si="39"/>
        <v>0</v>
      </c>
      <c r="R52" s="206">
        <f t="shared" si="39"/>
        <v>0</v>
      </c>
      <c r="S52" s="207">
        <f t="shared" si="39"/>
        <v>0</v>
      </c>
      <c r="T52" s="202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70</v>
      </c>
      <c r="D53" s="45" t="s">
        <v>43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8" t="s">
        <v>112</v>
      </c>
      <c r="C54" s="218">
        <f>Y60*0.40469</f>
        <v>0</v>
      </c>
      <c r="D54" s="218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113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114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60" t="s">
        <v>115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60" t="s">
        <v>117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7" t="s">
        <v>47</v>
      </c>
      <c r="M58" s="268"/>
      <c r="N58" s="268"/>
      <c r="O58" s="268"/>
      <c r="P58" s="268"/>
      <c r="Q58" s="268"/>
      <c r="R58" s="269"/>
      <c r="S58" s="267" t="s">
        <v>45</v>
      </c>
      <c r="T58" s="268"/>
      <c r="U58" s="268"/>
      <c r="V58" s="268"/>
      <c r="W58" s="267" t="s">
        <v>104</v>
      </c>
      <c r="X58" s="269"/>
      <c r="Y58" s="267" t="s">
        <v>105</v>
      </c>
      <c r="Z58" s="269"/>
      <c r="AJ58" s="47"/>
      <c r="AK58" s="47"/>
    </row>
    <row r="59" spans="1:37" ht="18" x14ac:dyDescent="0.25">
      <c r="A59" s="47"/>
      <c r="B59" s="261" t="s">
        <v>116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12" t="s">
        <v>59</v>
      </c>
      <c r="N59" s="213" t="s">
        <v>60</v>
      </c>
      <c r="O59" s="213" t="s">
        <v>133</v>
      </c>
      <c r="P59" s="243" t="s">
        <v>44</v>
      </c>
      <c r="Q59" s="213" t="s">
        <v>58</v>
      </c>
      <c r="R59" s="214" t="s">
        <v>46</v>
      </c>
      <c r="S59" s="55" t="s">
        <v>41</v>
      </c>
      <c r="T59" s="52" t="s">
        <v>42</v>
      </c>
      <c r="U59" s="52" t="s">
        <v>2</v>
      </c>
      <c r="V59" s="52" t="s">
        <v>1</v>
      </c>
      <c r="W59" s="59" t="s">
        <v>62</v>
      </c>
      <c r="X59" s="119" t="s">
        <v>63</v>
      </c>
      <c r="Y59" s="64" t="s">
        <v>70</v>
      </c>
      <c r="Z59" s="132" t="s">
        <v>43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118</v>
      </c>
      <c r="M60" s="75">
        <v>3.7109999999999999</v>
      </c>
      <c r="N60" s="75">
        <v>1.823</v>
      </c>
      <c r="O60" s="75">
        <v>0.96</v>
      </c>
      <c r="P60" s="75">
        <f t="shared" ref="P60:P61" si="40">M60-N60</f>
        <v>1.8879999999999999</v>
      </c>
      <c r="Q60" s="87">
        <f>IFERROR((M60-N60*POWER(O60,AB32)-(P60)),0)</f>
        <v>0</v>
      </c>
      <c r="R60" s="172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73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276" t="s">
        <v>101</v>
      </c>
      <c r="C61" s="277"/>
      <c r="D61" s="278"/>
      <c r="E61" s="47"/>
      <c r="F61" s="47"/>
      <c r="G61" s="47"/>
      <c r="H61" s="47"/>
      <c r="I61" s="47"/>
      <c r="J61" s="47"/>
      <c r="K61" s="47"/>
      <c r="L61" s="169" t="s">
        <v>119</v>
      </c>
      <c r="M61" s="75">
        <v>3.91</v>
      </c>
      <c r="N61" s="75">
        <v>0.20300000000000001</v>
      </c>
      <c r="O61" s="75">
        <v>0.84</v>
      </c>
      <c r="P61" s="138">
        <f t="shared" si="40"/>
        <v>3.7070000000000003</v>
      </c>
      <c r="Q61" s="97">
        <f>IFERROR(((M61-N61*POWER(O61,AC32)-(P61))*W61),0)</f>
        <v>0</v>
      </c>
      <c r="R61" s="190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100</v>
      </c>
      <c r="C62" s="281">
        <f>V86</f>
        <v>0</v>
      </c>
      <c r="D62" s="282"/>
      <c r="E62" s="47"/>
      <c r="F62" s="47"/>
      <c r="G62" s="47"/>
      <c r="H62" s="47"/>
      <c r="I62" s="47"/>
      <c r="J62" s="47"/>
      <c r="K62" s="47"/>
      <c r="L62" s="227" t="s">
        <v>120</v>
      </c>
      <c r="M62" s="191">
        <v>0</v>
      </c>
      <c r="N62" s="191">
        <v>0</v>
      </c>
      <c r="O62" s="191">
        <v>0</v>
      </c>
      <c r="P62" s="191">
        <f t="shared" ref="P62" si="42">M62-N62</f>
        <v>0</v>
      </c>
      <c r="Q62" s="192">
        <f>IFERROR(((M62-N62*POWER(O62,AD32)-(P62))*X62),0)</f>
        <v>0</v>
      </c>
      <c r="R62" s="192">
        <f t="shared" ref="R62" si="43"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121</v>
      </c>
      <c r="M63" s="75">
        <v>39.4</v>
      </c>
      <c r="N63" s="75">
        <v>6.56</v>
      </c>
      <c r="O63" s="75">
        <v>0.90500000000000003</v>
      </c>
      <c r="P63" s="143">
        <f t="shared" ref="P63:P74" si="44">M63-N63</f>
        <v>32.839999999999996</v>
      </c>
      <c r="Q63" s="81">
        <f>IFERROR((M63-N63*POWER(O63,AB33)-(P63)),0)</f>
        <v>0</v>
      </c>
      <c r="R63" s="179">
        <f t="shared" ref="R63:R70" si="45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122</v>
      </c>
      <c r="M64" s="75">
        <v>19.64</v>
      </c>
      <c r="N64" s="75">
        <v>0.68</v>
      </c>
      <c r="O64" s="75">
        <v>0.875</v>
      </c>
      <c r="P64" s="75">
        <f t="shared" si="44"/>
        <v>18.96</v>
      </c>
      <c r="Q64" s="87">
        <f>IFERROR(((M64-N64*POWER(O64,AC33)-(P64))*W64),0)</f>
        <v>0</v>
      </c>
      <c r="R64" s="172">
        <f t="shared" si="45"/>
        <v>0</v>
      </c>
      <c r="S64" s="74">
        <f>R64*N33*M33</f>
        <v>0</v>
      </c>
      <c r="T64" s="74"/>
      <c r="U64" s="74"/>
      <c r="V64" s="62"/>
      <c r="W64" s="110"/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123</v>
      </c>
      <c r="M65" s="170">
        <v>34.81</v>
      </c>
      <c r="N65" s="170">
        <v>8.7119999999999997</v>
      </c>
      <c r="O65" s="170">
        <v>0.96899999999999997</v>
      </c>
      <c r="P65" s="75">
        <f t="shared" si="44"/>
        <v>26.098000000000003</v>
      </c>
      <c r="Q65" s="171">
        <f>IFERROR(((M65-N65*POWER(O65,AD33)-(P65))*X65),0)</f>
        <v>0</v>
      </c>
      <c r="R65" s="172">
        <f t="shared" si="45"/>
        <v>0</v>
      </c>
      <c r="S65" s="74">
        <f>R65*N33*M33</f>
        <v>0</v>
      </c>
      <c r="T65" s="74"/>
      <c r="U65" s="74"/>
      <c r="V65" s="62"/>
      <c r="W65" s="110"/>
      <c r="X65" s="150"/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124</v>
      </c>
      <c r="M66" s="244">
        <v>12.56</v>
      </c>
      <c r="N66" s="244">
        <v>2.2770000000000001</v>
      </c>
      <c r="O66" s="244">
        <v>0.98499999999999999</v>
      </c>
      <c r="P66" s="127">
        <f t="shared" si="44"/>
        <v>10.283000000000001</v>
      </c>
      <c r="Q66" s="81">
        <f>IFERROR((M66-N66*POWER(O66,AB34)-(P66)),0)</f>
        <v>0</v>
      </c>
      <c r="R66" s="223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125</v>
      </c>
      <c r="M67" s="245">
        <v>15.326000000000001</v>
      </c>
      <c r="N67" s="245">
        <v>3.3029999999999999</v>
      </c>
      <c r="O67" s="245">
        <v>0.94399999999999995</v>
      </c>
      <c r="P67" s="170">
        <f t="shared" si="44"/>
        <v>12.023</v>
      </c>
      <c r="Q67" s="87">
        <f>IFERROR(((M67-N67*POWER(O67,AC34)-(P67))*W67),0)</f>
        <v>0</v>
      </c>
      <c r="R67" s="172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126</v>
      </c>
      <c r="M68" s="246">
        <v>0</v>
      </c>
      <c r="N68" s="246">
        <v>0</v>
      </c>
      <c r="O68" s="246">
        <v>0</v>
      </c>
      <c r="P68" s="224">
        <f t="shared" si="44"/>
        <v>0</v>
      </c>
      <c r="Q68" s="225">
        <f>IFERROR(((M68-N68*POWER(O68,AD34)-(P68))*X68),0)</f>
        <v>0</v>
      </c>
      <c r="R68" s="190">
        <f t="shared" si="45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46.5" customHeight="1" x14ac:dyDescent="0.2">
      <c r="A69" s="47"/>
      <c r="B69" s="266" t="s">
        <v>106</v>
      </c>
      <c r="C69" s="266"/>
      <c r="D69" s="266"/>
      <c r="E69" s="266"/>
      <c r="F69" s="266"/>
      <c r="G69" s="266"/>
      <c r="H69" s="266"/>
      <c r="I69" s="266"/>
      <c r="J69" s="28"/>
      <c r="K69" s="28"/>
      <c r="L69" s="229" t="s">
        <v>127</v>
      </c>
      <c r="M69" s="245">
        <v>1.79</v>
      </c>
      <c r="N69" s="245">
        <v>0.98899999999999999</v>
      </c>
      <c r="O69" s="245">
        <v>0.89200000000000002</v>
      </c>
      <c r="P69" s="170">
        <f t="shared" si="44"/>
        <v>0.80100000000000005</v>
      </c>
      <c r="Q69" s="171">
        <f>IFERROR((M69-N69*POWER(O69,AB35)-(P69)),0)</f>
        <v>0</v>
      </c>
      <c r="R69" s="222">
        <f t="shared" si="45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128</v>
      </c>
      <c r="M70" s="246">
        <v>1.81</v>
      </c>
      <c r="N70" s="246">
        <v>0.28599999999999998</v>
      </c>
      <c r="O70" s="246">
        <v>0.92600000000000005</v>
      </c>
      <c r="P70" s="138">
        <f t="shared" si="44"/>
        <v>1.524</v>
      </c>
      <c r="Q70" s="97">
        <f>IFERROR(((M70-N70*POWER(O70,AC35)-(P70))*W70),0)</f>
        <v>0</v>
      </c>
      <c r="R70" s="190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6" t="s">
        <v>76</v>
      </c>
      <c r="C71" s="266"/>
      <c r="D71" s="266"/>
      <c r="E71" s="266"/>
      <c r="F71" s="266"/>
      <c r="G71" s="266"/>
      <c r="H71" s="266"/>
      <c r="I71" s="266"/>
      <c r="J71" s="28"/>
      <c r="K71" s="28"/>
      <c r="L71" s="229" t="s">
        <v>129</v>
      </c>
      <c r="M71" s="247">
        <v>1.6623000000000001</v>
      </c>
      <c r="N71" s="247">
        <v>0.97850000000000004</v>
      </c>
      <c r="O71" s="247">
        <v>0.87949999999999995</v>
      </c>
      <c r="P71" s="170">
        <f t="shared" si="44"/>
        <v>0.68380000000000007</v>
      </c>
      <c r="Q71" s="171">
        <f>IFERROR((M71-N71*POWER(O71,AC36)-(P71)),0)</f>
        <v>0</v>
      </c>
      <c r="R71" s="171">
        <f t="shared" ref="R71:R72" si="46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130</v>
      </c>
      <c r="M72" s="248">
        <v>1.7612000000000001</v>
      </c>
      <c r="N72" s="248">
        <v>9.8900000000000002E-2</v>
      </c>
      <c r="O72" s="248">
        <v>0.9</v>
      </c>
      <c r="P72" s="138">
        <f t="shared" si="44"/>
        <v>1.6623000000000001</v>
      </c>
      <c r="Q72" s="97">
        <f>IFERROR(((M72-N72*POWER(O72,AD36)-(P72))*X72),0)</f>
        <v>0</v>
      </c>
      <c r="R72" s="97">
        <f t="shared" si="46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6" t="s">
        <v>80</v>
      </c>
      <c r="C73" s="266"/>
      <c r="D73" s="266"/>
      <c r="E73" s="266"/>
      <c r="F73" s="266"/>
      <c r="G73" s="266"/>
      <c r="H73" s="266"/>
      <c r="I73" s="266"/>
      <c r="J73" s="28"/>
      <c r="K73" s="28"/>
      <c r="L73" s="229" t="s">
        <v>131</v>
      </c>
      <c r="M73" s="249">
        <v>1.792</v>
      </c>
      <c r="N73" s="249">
        <v>0.93700000000000006</v>
      </c>
      <c r="O73" s="249">
        <v>0.89300000000000002</v>
      </c>
      <c r="P73" s="170">
        <f t="shared" si="44"/>
        <v>0.85499999999999998</v>
      </c>
      <c r="Q73" s="171">
        <f>IFERROR((M73-N73*POWER(O73,AC37)-(P73)),0)</f>
        <v>0</v>
      </c>
      <c r="R73" s="171">
        <f t="shared" ref="R73:R74" si="47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3"/>
      <c r="X73" s="176"/>
      <c r="Y73" s="251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0.5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132</v>
      </c>
      <c r="M74" s="250">
        <v>1.72</v>
      </c>
      <c r="N74" s="250">
        <v>0.221</v>
      </c>
      <c r="O74" s="250">
        <v>0.94199999999999995</v>
      </c>
      <c r="P74" s="138">
        <f t="shared" si="44"/>
        <v>1.4989999999999999</v>
      </c>
      <c r="Q74" s="97">
        <f>IFERROR(((M74-N74*POWER(O74,AD37)-(P74))*X74),0)</f>
        <v>0</v>
      </c>
      <c r="R74" s="97">
        <f t="shared" si="47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2"/>
      <c r="Z74" s="150"/>
      <c r="AJ74" s="47"/>
      <c r="AK74" s="47"/>
    </row>
    <row r="75" spans="1:37" ht="15" x14ac:dyDescent="0.2">
      <c r="A75" s="47"/>
      <c r="B75" s="266" t="s">
        <v>107</v>
      </c>
      <c r="C75" s="266"/>
      <c r="D75" s="266"/>
      <c r="E75" s="266"/>
      <c r="F75" s="266"/>
      <c r="G75" s="266"/>
      <c r="H75" s="266"/>
      <c r="I75" s="266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53</v>
      </c>
      <c r="U84" s="77"/>
      <c r="V84" s="130"/>
    </row>
    <row r="85" spans="2:24" x14ac:dyDescent="0.2">
      <c r="T85" s="55" t="s">
        <v>54</v>
      </c>
      <c r="U85" s="52" t="s">
        <v>55</v>
      </c>
      <c r="V85" s="53" t="s">
        <v>56</v>
      </c>
    </row>
    <row r="86" spans="2:24" x14ac:dyDescent="0.2">
      <c r="S86" s="159"/>
      <c r="T86" s="123">
        <f>SUM(T60:T74)</f>
        <v>0</v>
      </c>
      <c r="U86" s="124">
        <f>SUM(U60:U74)</f>
        <v>0</v>
      </c>
      <c r="V86" s="125">
        <f>SUM(V60:V74)</f>
        <v>0</v>
      </c>
      <c r="W86" s="160"/>
      <c r="X86" s="72"/>
    </row>
    <row r="87" spans="2:24" x14ac:dyDescent="0.2">
      <c r="S87" s="159"/>
    </row>
    <row r="88" spans="2:24" x14ac:dyDescent="0.2">
      <c r="I88" s="48" t="s">
        <v>94</v>
      </c>
      <c r="S88" s="120"/>
    </row>
  </sheetData>
  <mergeCells count="28"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2016-04-12T12:26:24Z</dcterms:modified>
</cp:coreProperties>
</file>