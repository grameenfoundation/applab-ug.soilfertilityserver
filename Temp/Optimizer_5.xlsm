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4370" windowHeight="798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23" i="2" l="1"/>
  <c r="P71" i="2"/>
  <c r="P73" i="2"/>
  <c r="G49" i="2" l="1"/>
  <c r="F49" i="2"/>
  <c r="E49" i="2"/>
  <c r="D49" i="2"/>
  <c r="C49" i="2"/>
  <c r="X23" i="2"/>
  <c r="W23" i="2"/>
  <c r="U23" i="2"/>
  <c r="T23" i="2"/>
  <c r="T18" i="2" l="1"/>
  <c r="X20" i="2"/>
  <c r="X19" i="2"/>
  <c r="X18" i="2"/>
  <c r="W20" i="2"/>
  <c r="W19" i="2"/>
  <c r="W18" i="2"/>
  <c r="V20" i="2"/>
  <c r="V19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W37" i="2" s="1"/>
  <c r="R10" i="2"/>
  <c r="Q9" i="2"/>
  <c r="T37" i="2" s="1"/>
  <c r="Q10" i="2" l="1"/>
  <c r="Q11" i="2"/>
  <c r="V36" i="2" s="1"/>
  <c r="Q12" i="2"/>
  <c r="Q13" i="2"/>
  <c r="P60" i="2" l="1"/>
  <c r="P61" i="2"/>
  <c r="O38" i="2"/>
  <c r="P38" i="2"/>
  <c r="S38" i="2"/>
  <c r="X22" i="2"/>
  <c r="X21" i="2"/>
  <c r="G43" i="2"/>
  <c r="C22" i="2"/>
  <c r="P74" i="2" l="1"/>
  <c r="P72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D33" i="2" l="1"/>
  <c r="AC33" i="2"/>
  <c r="AB36" i="2"/>
  <c r="Q71" i="2" s="1"/>
  <c r="R71" i="2" s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Q64" i="2" s="1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U37" i="2"/>
  <c r="Z37" i="2"/>
  <c r="X37" i="2"/>
  <c r="V37" i="2"/>
  <c r="T38" i="2"/>
  <c r="T51" i="2"/>
  <c r="U73" i="2" s="1"/>
  <c r="U86" i="2" s="1"/>
  <c r="M38" i="2"/>
  <c r="AD35" i="2"/>
  <c r="AD34" i="2"/>
  <c r="Q65" i="2"/>
  <c r="AD32" i="2"/>
  <c r="AC32" i="2"/>
  <c r="AB32" i="2"/>
  <c r="W61" i="2" l="1"/>
  <c r="Q61" i="2" s="1"/>
  <c r="R61" i="2" s="1"/>
  <c r="Q60" i="2"/>
  <c r="R60" i="2" s="1"/>
  <c r="S60" i="2" s="1"/>
  <c r="AD37" i="2"/>
  <c r="AC37" i="2"/>
  <c r="Q73" i="2" s="1"/>
  <c r="R73" i="2" s="1"/>
  <c r="X62" i="2"/>
  <c r="Q62" i="2" s="1"/>
  <c r="R62" i="2" s="1"/>
  <c r="S62" i="2" s="1"/>
  <c r="T52" i="2"/>
  <c r="AA38" i="2"/>
  <c r="Z38" i="2"/>
  <c r="AB35" i="2"/>
  <c r="AB33" i="2"/>
  <c r="Q63" i="2" s="1"/>
  <c r="AB34" i="2"/>
  <c r="AC34" i="2"/>
  <c r="AB37" i="2"/>
  <c r="AC35" i="2"/>
  <c r="V38" i="2"/>
  <c r="U38" i="2"/>
  <c r="X38" i="2"/>
  <c r="W38" i="2"/>
  <c r="X68" i="2" l="1"/>
  <c r="Q68" i="2" s="1"/>
  <c r="W70" i="2"/>
  <c r="Q70" i="2" s="1"/>
  <c r="Q69" i="2"/>
  <c r="R69" i="2" s="1"/>
  <c r="S69" i="2" s="1"/>
  <c r="W67" i="2"/>
  <c r="Q67" i="2" s="1"/>
  <c r="Q66" i="2"/>
  <c r="R66" i="2" s="1"/>
  <c r="S66" i="2" s="1"/>
  <c r="X74" i="2"/>
  <c r="Q74" i="2" s="1"/>
  <c r="R63" i="2"/>
  <c r="Y60" i="2"/>
  <c r="C54" i="2" s="1"/>
  <c r="AD38" i="2"/>
  <c r="S61" i="2"/>
  <c r="T60" i="2" s="1"/>
  <c r="AB38" i="2"/>
  <c r="AC38" i="2"/>
  <c r="S63" i="2" l="1"/>
  <c r="R74" i="2"/>
  <c r="R72" i="2"/>
  <c r="R68" i="2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l="1"/>
  <c r="C55" i="2" s="1"/>
  <c r="S74" i="2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s="1"/>
  <c r="V63" i="2" s="1"/>
  <c r="Z63" i="2" s="1"/>
  <c r="D55" i="2" l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<sst xmlns="http://schemas.openxmlformats.org/spreadsheetml/2006/main" count="186" uniqueCount="135">
  <si>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</si>
  <si>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</si>
  <si>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</si>
  <si>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</si>
  <si>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</si>
  <si>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</si>
  <si>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</si>
  <si>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</si>
  <si>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</si>
  <si>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</si>
  <si>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</si>
  <si>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</si>
  <si>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</si>
  <si>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</si>
  <si>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</si>
  <si>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</si>
  <si>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</si>
  <si>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</si>
  <si>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</si>
  <si>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</si>
  <si>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</si>
  <si>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</si>
  <si>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</si>
  <si>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</si>
  <si>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</si>
  <si>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</si>
  <si>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</si>
  <si>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</si>
  <si>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</si>
  <si>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</si>
  <si>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</si>
  <si>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</si>
  <si>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</si>
  <si>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</si>
  <si>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</si>
  <si>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</si>
  <si>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</si>
  <si>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</si>
  <si>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</si>
  <si>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</si>
  <si>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</si>
  <si>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</si>
  <si>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</si>
  <si>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</si>
  <si>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</si>
  <si>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</si>
  <si>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</si>
  <si>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</si>
  <si>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</si>
  <si>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</si>
  <si>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</si>
  <si>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</si>
  <si>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</si>
  <si>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</si>
  <si>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</si>
  <si>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</si>
  <si>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</si>
  <si>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</si>
  <si>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</si>
  <si>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</si>
  <si>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</si>
  <si>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</si>
  <si>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</si>
  <si>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</si>
  <si>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</si>
  <si>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</si>
  <si>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</si>
  <si>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</si>
  <si>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</si>
  <si>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</si>
  <si>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</si>
  <si>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</si>
  <si>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</si>
  <si>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</si>
  <si>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</si>
  <si>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</si>
  <si>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</si>
  <si>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</si>
  <si>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</si>
  <si>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</si>
  <si>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</si>
  <si>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</si>
  <si>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</si>
  <si>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</si>
  <si>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</si>
  <si>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</si>
  <si>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</si>
  <si>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</si>
  <si>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</si>
  <si>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</si>
  <si>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</si>
  <si>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</si>
  <si>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</si>
  <si>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</si>
  <si>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</si>
  <si>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</si>
  <si>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</si>
  <si>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</si>
  <si>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</si>
  <si>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</si>
  <si>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</si>
  <si>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</si>
  <si>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</si>
  <si>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</si>
  <si>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</si>
  <si>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</si>
  <si>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</si>
  <si>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</si>
  <si>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</si>
  <si>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</si>
  <si>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</si>
  <si>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</si>
  <si>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</si>
  <si>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</si>
  <si>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Irish potato</t>
  </si>
  <si>
    <t>Beans</t>
  </si>
  <si>
    <t>Maize N</t>
  </si>
  <si>
    <t>Maize P</t>
  </si>
  <si>
    <t>Maize K</t>
  </si>
  <si>
    <t>Banana N</t>
  </si>
  <si>
    <t>Banana P</t>
  </si>
  <si>
    <t>Banana K</t>
  </si>
  <si>
    <t>Irish potato N</t>
  </si>
  <si>
    <t>Irish potato P</t>
  </si>
  <si>
    <t>Irish potato K</t>
  </si>
  <si>
    <t xml:space="preserve">Beans N </t>
  </si>
  <si>
    <t>Beans P</t>
  </si>
  <si>
    <t>Coefficient 3</t>
  </si>
  <si>
    <t>Fingermillet</t>
  </si>
  <si>
    <t>Finger millet N</t>
  </si>
  <si>
    <t>Finger millet P</t>
  </si>
  <si>
    <t>NPK</t>
  </si>
  <si>
    <t>Soybean</t>
  </si>
  <si>
    <t>Soybean P</t>
  </si>
  <si>
    <t>Soybean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</si>
</sst>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8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15" xfId="0" applyFont="1" applyFill="1" applyBorder="1" applyAlignment="1">
      <alignment horizontal="center" vertical="center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5" fillId="4" borderId="1" xfId="0" applyFont="1" applyFill="1" applyBorder="1"/>
    <xf numFmtId="0" fontId="15" fillId="4" borderId="2" xfId="0" applyFont="1" applyFill="1" applyBorder="1" applyAlignment="1"/>
    <xf numFmtId="0" fontId="15" fillId="4" borderId="2" xfId="0" applyFont="1" applyFill="1" applyBorder="1"/>
    <xf numFmtId="0" fontId="15" fillId="4" borderId="3" xfId="0" applyFont="1" applyFill="1" applyBorder="1" applyAlignment="1"/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5" xfId="0" applyFont="1" applyBorder="1" applyAlignment="1">
      <alignment horizontal="center"/>
    </xf>
    <xf numFmtId="0" fontId="17" fillId="0" borderId="15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0" fillId="0" borderId="15" xfId="0" applyFont="1" applyFill="1" applyBorder="1" applyAlignment="1">
      <alignment vertical="center"/>
    </xf>
    <xf numFmtId="0" fontId="18" fillId="0" borderId="0" xfId="0" applyFont="1" applyFill="1" applyBorder="1" applyAlignment="1">
      <alignment vertical="top"/>
    </xf>
    <xf numFmtId="0" fontId="0" fillId="0" borderId="15" xfId="0" applyFont="1" applyFill="1" applyBorder="1" applyAlignment="1"/>
    <xf numFmtId="0" fontId="14" fillId="0" borderId="10" xfId="0" applyFont="1" applyBorder="1" applyAlignment="1">
      <alignment horizontal="left"/>
    </xf>
    <xf numFmtId="0" fontId="17" fillId="0" borderId="4" xfId="0" applyFont="1" applyFill="1" applyBorder="1" applyAlignment="1">
      <alignment horizontal="left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6" xfId="0" applyFont="1" applyFill="1" applyBorder="1" applyAlignment="1">
      <alignment horizontal="right" vertical="center"/>
    </xf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126998</xdr:rowOff>
    </xdr:from>
    <xdr:to>
      <xdr:col>4</xdr:col>
      <xdr:colOff>740833</xdr:colOff>
      <xdr:row>7</xdr:row>
      <xdr:rowOff>261938</xdr:rowOff>
    </xdr:to>
    <xdr:sp macro="" textlink="">
      <xdr:nvSpPr>
        <xdr:cNvPr id="4" name="Rectangle 3"/>
        <xdr:cNvSpPr/>
      </xdr:nvSpPr>
      <xdr:spPr>
        <a:xfrm>
          <a:off x="4673865" y="305592"/>
          <a:ext cx="1698624" cy="1206502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WESTERN HIGHLANDS KAMWENGE, IBANDA, BUSHENYI, KYENJOJO</a:t>
          </a:r>
          <a:endParaRPr lang="en-US" sz="1400" b="1">
            <a:effectLst/>
          </a:endParaRP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25" zoomScale="80" zoomScaleNormal="80" workbookViewId="0">
      <selection activeCell="A53" sqref="A53:XFD53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76" t="s">
        <v>92</v>
      </c>
      <c r="D10" s="276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76" t="s">
        <v>92</v>
      </c>
      <c r="D11" s="276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77">
        <f ca="1">TODAY()</f>
        <v>42472</v>
      </c>
      <c r="D12" s="277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82" t="s">
        <v>4</v>
      </c>
      <c r="C14" s="283"/>
      <c r="D14" s="284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249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73" t="s">
        <v>31</v>
      </c>
      <c r="O16" s="274"/>
      <c r="P16" s="274"/>
      <c r="Q16" s="274"/>
      <c r="R16" s="274"/>
      <c r="S16" s="274"/>
      <c r="T16" s="274"/>
      <c r="U16" s="274"/>
      <c r="V16" s="274"/>
      <c r="W16" s="274"/>
      <c r="X16" s="275"/>
      <c r="Y16" s="273" t="s">
        <v>98</v>
      </c>
      <c r="Z16" s="274"/>
      <c r="AA16" s="275"/>
      <c r="AJ16" s="47"/>
      <c r="AK16" s="47"/>
    </row>
    <row r="17" spans="1:37" ht="18" x14ac:dyDescent="0.25">
      <c r="A17" s="47"/>
      <c r="B17" s="250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2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250" t="s">
        <v>114</v>
      </c>
      <c r="C18" s="35"/>
      <c r="D18" s="35"/>
      <c r="E18" s="47"/>
      <c r="F18" s="47"/>
      <c r="G18" s="47"/>
      <c r="H18" s="47"/>
      <c r="I18" s="47"/>
      <c r="J18" s="47"/>
      <c r="K18" s="47"/>
      <c r="N18" s="268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251" t="s">
        <v>115</v>
      </c>
      <c r="C19" s="35"/>
      <c r="D19" s="35"/>
      <c r="E19" s="65"/>
      <c r="F19" s="47"/>
      <c r="G19" s="47"/>
      <c r="H19" s="47"/>
      <c r="I19" s="47"/>
      <c r="J19" s="47"/>
      <c r="K19" s="47"/>
      <c r="N19" s="268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251" t="s">
        <v>128</v>
      </c>
      <c r="C20" s="35"/>
      <c r="D20" s="35"/>
      <c r="E20" s="65"/>
      <c r="F20" s="47"/>
      <c r="G20" s="47"/>
      <c r="H20" s="47"/>
      <c r="I20" s="47"/>
      <c r="J20" s="47"/>
      <c r="K20" s="47"/>
      <c r="N20" s="268" t="s">
        <v>114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2" t="s">
        <v>132</v>
      </c>
      <c r="C21" s="36"/>
      <c r="D21" s="36"/>
      <c r="E21" s="65"/>
      <c r="F21" s="47"/>
      <c r="G21" s="47"/>
      <c r="H21" s="47"/>
      <c r="I21" s="47"/>
      <c r="J21" s="47"/>
      <c r="K21" s="47"/>
      <c r="N21" s="268" t="s">
        <v>115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68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8" t="s">
        <v>132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3">
        <v>40</v>
      </c>
      <c r="AA23" s="100">
        <v>50</v>
      </c>
      <c r="AJ23" s="47"/>
      <c r="AK23" s="47"/>
    </row>
    <row r="24" spans="1:37" ht="18" x14ac:dyDescent="0.25">
      <c r="A24" s="47"/>
      <c r="B24" s="278" t="s">
        <v>6</v>
      </c>
      <c r="C24" s="279"/>
      <c r="D24" s="279"/>
      <c r="E24" s="279"/>
      <c r="F24" s="280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131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73" t="s">
        <v>33</v>
      </c>
      <c r="M30" s="274"/>
      <c r="N30" s="275"/>
      <c r="O30" s="286" t="s">
        <v>88</v>
      </c>
      <c r="P30" s="287"/>
      <c r="Q30" s="287"/>
      <c r="R30" s="287"/>
      <c r="S30" s="281"/>
      <c r="T30" s="273" t="s">
        <v>32</v>
      </c>
      <c r="U30" s="274"/>
      <c r="V30" s="274"/>
      <c r="W30" s="274"/>
      <c r="X30" s="274"/>
      <c r="Y30" s="274"/>
      <c r="Z30" s="274"/>
      <c r="AA30" s="274"/>
      <c r="AB30" s="273" t="s">
        <v>67</v>
      </c>
      <c r="AC30" s="274"/>
      <c r="AD30" s="275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1" t="s">
        <v>5</v>
      </c>
      <c r="M31" s="26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68" t="s">
        <v>112</v>
      </c>
      <c r="M32" s="228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45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8" t="s">
        <v>9</v>
      </c>
      <c r="C33" s="280"/>
      <c r="D33" s="91"/>
      <c r="E33" s="91"/>
      <c r="F33" s="91"/>
      <c r="G33" s="47"/>
      <c r="H33" s="47"/>
      <c r="I33" s="47"/>
      <c r="J33" s="47"/>
      <c r="K33" s="47"/>
      <c r="L33" s="268" t="s">
        <v>113</v>
      </c>
      <c r="M33" s="229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6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6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46">
        <f t="shared" si="4"/>
        <v>0</v>
      </c>
      <c r="AC33" s="89">
        <f>U33+W33+Z33</f>
        <v>0</v>
      </c>
      <c r="AD33" s="90">
        <f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68" t="s">
        <v>114</v>
      </c>
      <c r="M34" s="234">
        <f t="shared" si="5"/>
        <v>0</v>
      </c>
      <c r="N34" s="235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6">
        <v>0</v>
      </c>
      <c r="T34" s="185">
        <f t="shared" si="6"/>
        <v>0</v>
      </c>
      <c r="U34" s="237">
        <f t="shared" si="7"/>
        <v>0</v>
      </c>
      <c r="V34" s="237">
        <f t="shared" si="8"/>
        <v>0</v>
      </c>
      <c r="W34" s="237">
        <f t="shared" si="9"/>
        <v>0</v>
      </c>
      <c r="X34" s="237">
        <f t="shared" si="10"/>
        <v>0</v>
      </c>
      <c r="Y34" s="237">
        <f t="shared" si="11"/>
        <v>0</v>
      </c>
      <c r="Z34" s="237">
        <f t="shared" si="12"/>
        <v>0</v>
      </c>
      <c r="AA34" s="238">
        <f t="shared" si="13"/>
        <v>0</v>
      </c>
      <c r="AB34" s="247">
        <f t="shared" si="4"/>
        <v>0</v>
      </c>
      <c r="AC34" s="239">
        <f t="shared" si="4"/>
        <v>0</v>
      </c>
      <c r="AD34" s="238">
        <f t="shared" ref="AD34:AD35" si="14">X34+AA34</f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85"/>
      <c r="C35" s="285"/>
      <c r="D35" s="37"/>
      <c r="E35" s="65"/>
      <c r="F35" s="91"/>
      <c r="G35" s="47"/>
      <c r="H35" s="47"/>
      <c r="I35" s="47"/>
      <c r="J35" s="47"/>
      <c r="K35" s="47"/>
      <c r="L35" s="268" t="s">
        <v>115</v>
      </c>
      <c r="M35" s="229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46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68" t="s">
        <v>128</v>
      </c>
      <c r="M36" s="229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>IF(M36&lt;=0,0,Q36*$Q$11)</f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46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8" t="s">
        <v>132</v>
      </c>
      <c r="M37" s="230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>IF(M37&lt;=0,0,O37*$Q$9)</f>
        <v>0</v>
      </c>
      <c r="U37" s="110">
        <f t="shared" si="7"/>
        <v>0</v>
      </c>
      <c r="V37" s="110">
        <f t="shared" si="8"/>
        <v>0</v>
      </c>
      <c r="W37" s="110">
        <f>IF(M37&lt;=0,0,Q37*$R$11)</f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48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91" t="s">
        <v>74</v>
      </c>
      <c r="C41" s="292"/>
      <c r="D41" s="292"/>
      <c r="E41" s="292"/>
      <c r="F41" s="292"/>
      <c r="G41" s="293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8" t="s">
        <v>109</v>
      </c>
      <c r="D42" s="289"/>
      <c r="E42" s="289"/>
      <c r="F42" s="289"/>
      <c r="G42" s="290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38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73" t="s">
        <v>48</v>
      </c>
      <c r="O44" s="274"/>
      <c r="P44" s="274"/>
      <c r="Q44" s="274"/>
      <c r="R44" s="274"/>
      <c r="S44" s="274"/>
      <c r="T44" s="274"/>
      <c r="U44" s="281"/>
      <c r="Y44" s="73"/>
      <c r="AJ44" s="47"/>
      <c r="AK44" s="47"/>
    </row>
    <row r="45" spans="1:37" ht="18" x14ac:dyDescent="0.25">
      <c r="A45" s="47"/>
      <c r="B45" s="38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27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38" t="s">
        <v>114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67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38" t="s">
        <v>115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67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38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67" t="s">
        <v>114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38" t="s">
        <v>132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67" t="s">
        <v>115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6">
        <f>O39</f>
        <v>0</v>
      </c>
      <c r="D50" s="216">
        <f>P39</f>
        <v>0</v>
      </c>
      <c r="E50" s="216">
        <f>Q39</f>
        <v>0</v>
      </c>
      <c r="F50" s="216">
        <f>R39</f>
        <v>0</v>
      </c>
      <c r="G50" s="216">
        <f>S39</f>
        <v>0</v>
      </c>
      <c r="H50" s="47"/>
      <c r="I50" s="47"/>
      <c r="J50" s="47"/>
      <c r="K50" s="47"/>
      <c r="N50" s="67" t="s">
        <v>128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73" t="s">
        <v>69</v>
      </c>
      <c r="X50" s="275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67" t="s">
        <v>132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91" t="s">
        <v>108</v>
      </c>
      <c r="C52" s="294"/>
      <c r="D52" s="295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41" t="s">
        <v>112</v>
      </c>
      <c r="C54" s="217">
        <f>Y60*0.40469</f>
        <v>0</v>
      </c>
      <c r="D54" s="217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41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41" t="s">
        <v>114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41" t="s">
        <v>115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41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73" t="s">
        <v>47</v>
      </c>
      <c r="M58" s="274"/>
      <c r="N58" s="274"/>
      <c r="O58" s="274"/>
      <c r="P58" s="274"/>
      <c r="Q58" s="274"/>
      <c r="R58" s="275"/>
      <c r="S58" s="273" t="s">
        <v>45</v>
      </c>
      <c r="T58" s="274"/>
      <c r="U58" s="274"/>
      <c r="V58" s="274"/>
      <c r="W58" s="273" t="s">
        <v>104</v>
      </c>
      <c r="X58" s="275"/>
      <c r="Y58" s="273" t="s">
        <v>105</v>
      </c>
      <c r="Z58" s="275"/>
      <c r="AJ58" s="47"/>
      <c r="AK58" s="47"/>
    </row>
    <row r="59" spans="1:37" ht="18" x14ac:dyDescent="0.25">
      <c r="A59" s="47"/>
      <c r="B59" s="41" t="s">
        <v>132</v>
      </c>
      <c r="C59" s="218">
        <f>Y73*0.40469</f>
        <v>0</v>
      </c>
      <c r="D59" s="218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127</v>
      </c>
      <c r="P59" s="240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ht="15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53" t="s">
        <v>116</v>
      </c>
      <c r="M60" s="254">
        <v>3.7109999999999999</v>
      </c>
      <c r="N60" s="255">
        <v>1.823</v>
      </c>
      <c r="O60" s="260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91" t="s">
        <v>101</v>
      </c>
      <c r="C61" s="292"/>
      <c r="D61" s="293"/>
      <c r="E61" s="47"/>
      <c r="F61" s="47"/>
      <c r="G61" s="47"/>
      <c r="H61" s="47"/>
      <c r="I61" s="47"/>
      <c r="J61" s="47"/>
      <c r="K61" s="47"/>
      <c r="L61" s="256" t="s">
        <v>117</v>
      </c>
      <c r="M61" s="257">
        <v>3.91</v>
      </c>
      <c r="N61" s="258">
        <v>0.20300000000000001</v>
      </c>
      <c r="O61" s="262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96">
        <f>V86</f>
        <v>0</v>
      </c>
      <c r="D62" s="297"/>
      <c r="E62" s="47"/>
      <c r="F62" s="47"/>
      <c r="G62" s="47"/>
      <c r="H62" s="47"/>
      <c r="I62" s="47"/>
      <c r="J62" s="47"/>
      <c r="K62" s="47"/>
      <c r="L62" s="225" t="s">
        <v>118</v>
      </c>
      <c r="M62" s="191">
        <v>0</v>
      </c>
      <c r="N62" s="191">
        <v>0</v>
      </c>
      <c r="O62" s="263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119</v>
      </c>
      <c r="M63" s="75">
        <v>39.4</v>
      </c>
      <c r="N63" s="75">
        <v>6.56</v>
      </c>
      <c r="O63" s="157">
        <v>0.90500000000000003</v>
      </c>
      <c r="P63" s="143">
        <f t="shared" ref="P63:P74" si="44">M63-N63</f>
        <v>32.839999999999996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120</v>
      </c>
      <c r="M64" s="75">
        <v>19.64</v>
      </c>
      <c r="N64" s="75">
        <v>0.68</v>
      </c>
      <c r="O64" s="157">
        <v>0.875</v>
      </c>
      <c r="P64" s="75">
        <f t="shared" si="44"/>
        <v>18.96</v>
      </c>
      <c r="Q64" s="87">
        <f>IFERROR(((M64-N64*POWER(O64,AC33)-(P64))*W64),0)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/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121</v>
      </c>
      <c r="M65" s="170">
        <v>34.81</v>
      </c>
      <c r="N65" s="170">
        <v>8.7119999999999997</v>
      </c>
      <c r="O65" s="264">
        <v>0.96899999999999997</v>
      </c>
      <c r="P65" s="75">
        <f t="shared" si="44"/>
        <v>26.098000000000003</v>
      </c>
      <c r="Q65" s="171">
        <f>IFERROR(((M65-N65*POWER(O65,AD33)-(P65))*X65),0)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/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53" t="s">
        <v>122</v>
      </c>
      <c r="M66" s="254">
        <v>12.56</v>
      </c>
      <c r="N66" s="255">
        <v>2.2770000000000001</v>
      </c>
      <c r="O66" s="260">
        <v>0.98499999999999999</v>
      </c>
      <c r="P66" s="127">
        <f t="shared" si="44"/>
        <v>10.283000000000001</v>
      </c>
      <c r="Q66" s="81">
        <f>IFERROR((M66-N66*POWER(O66,AB34)-(P66)),0)</f>
        <v>0</v>
      </c>
      <c r="R66" s="222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256" t="s">
        <v>123</v>
      </c>
      <c r="M67" s="257">
        <v>15.326000000000001</v>
      </c>
      <c r="N67" s="258">
        <v>3.3029999999999999</v>
      </c>
      <c r="O67" s="262">
        <v>0.94399999999999995</v>
      </c>
      <c r="P67" s="170">
        <f t="shared" si="44"/>
        <v>12.023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6" t="s">
        <v>124</v>
      </c>
      <c r="M68" s="241">
        <v>0</v>
      </c>
      <c r="N68" s="241">
        <v>0</v>
      </c>
      <c r="O68" s="265">
        <v>0</v>
      </c>
      <c r="P68" s="223">
        <f t="shared" si="44"/>
        <v>0</v>
      </c>
      <c r="Q68" s="224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51.75" customHeight="1" x14ac:dyDescent="0.2">
      <c r="A69" s="47"/>
      <c r="B69" s="272" t="s">
        <v>106</v>
      </c>
      <c r="C69" s="272"/>
      <c r="D69" s="272"/>
      <c r="E69" s="272"/>
      <c r="F69" s="272"/>
      <c r="G69" s="272"/>
      <c r="H69" s="272"/>
      <c r="I69" s="272"/>
      <c r="J69" s="28"/>
      <c r="K69" s="28"/>
      <c r="L69" s="253" t="s">
        <v>125</v>
      </c>
      <c r="M69" s="254">
        <v>1.79</v>
      </c>
      <c r="N69" s="255">
        <v>0.98899999999999999</v>
      </c>
      <c r="O69" s="260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1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8.75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56" t="s">
        <v>126</v>
      </c>
      <c r="M70" s="257">
        <v>1.81</v>
      </c>
      <c r="N70" s="258">
        <v>0.28599999999999998</v>
      </c>
      <c r="O70" s="262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72" t="s">
        <v>76</v>
      </c>
      <c r="C71" s="272"/>
      <c r="D71" s="272"/>
      <c r="E71" s="272"/>
      <c r="F71" s="272"/>
      <c r="G71" s="272"/>
      <c r="H71" s="272"/>
      <c r="I71" s="272"/>
      <c r="J71" s="28"/>
      <c r="K71" s="28"/>
      <c r="L71" s="259" t="s">
        <v>129</v>
      </c>
      <c r="M71" s="254">
        <v>1.6080000000000001</v>
      </c>
      <c r="N71" s="255">
        <v>0.876</v>
      </c>
      <c r="O71" s="260">
        <v>0.95699999999999996</v>
      </c>
      <c r="P71" s="170">
        <f>M71-N71</f>
        <v>0.7320000000000001</v>
      </c>
      <c r="Q71" s="171">
        <f>IFERROR((M71-N71*POWER(O71,AB36)-(P71)),0)</f>
        <v>0</v>
      </c>
      <c r="R71" s="171">
        <f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56" t="s">
        <v>130</v>
      </c>
      <c r="M72" s="271">
        <v>1.841</v>
      </c>
      <c r="N72" s="151">
        <v>0.44600000000000001</v>
      </c>
      <c r="O72" s="262">
        <v>0.9</v>
      </c>
      <c r="P72" s="138">
        <f t="shared" si="44"/>
        <v>1.395</v>
      </c>
      <c r="Q72" s="97">
        <f>IFERROR(((M72-N72*POWER(O72,AC36)-(P72))*X72),0)</f>
        <v>0</v>
      </c>
      <c r="R72" s="97">
        <f t="shared" ref="R72" si="46">Q72*1000</f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72" t="s">
        <v>80</v>
      </c>
      <c r="C73" s="272"/>
      <c r="D73" s="272"/>
      <c r="E73" s="272"/>
      <c r="F73" s="272"/>
      <c r="G73" s="272"/>
      <c r="H73" s="272"/>
      <c r="I73" s="272"/>
      <c r="J73" s="28"/>
      <c r="K73" s="28"/>
      <c r="L73" s="269" t="s">
        <v>133</v>
      </c>
      <c r="M73" s="254">
        <v>1.6623000000000001</v>
      </c>
      <c r="N73" s="255">
        <v>0.97850000000000004</v>
      </c>
      <c r="O73" s="266">
        <v>0.87949999999999995</v>
      </c>
      <c r="P73" s="170">
        <f>M73-N73</f>
        <v>0.68380000000000007</v>
      </c>
      <c r="Q73" s="171">
        <f>IFERROR((M73-N73*POWER(O73,AC37)-(P73)),0)</f>
        <v>0</v>
      </c>
      <c r="R73" s="171">
        <f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44"/>
      <c r="X73" s="176"/>
      <c r="Y73" s="242">
        <f>R73+R74</f>
        <v>0</v>
      </c>
      <c r="Z73" s="219">
        <f>IF(OR(M37=0,M37=1),$V$73,IF(M37&lt;1,$V$73/M37,IF(M37&gt;1,$V$73/M37,0)))</f>
        <v>0</v>
      </c>
      <c r="AJ73" s="28"/>
      <c r="AK73" s="28"/>
    </row>
    <row r="74" spans="1:37" ht="20.25" customHeight="1" x14ac:dyDescent="0.25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70" t="s">
        <v>134</v>
      </c>
      <c r="M74" s="257">
        <v>1.7612000000000001</v>
      </c>
      <c r="N74" s="258">
        <v>9.8900000000000002E-2</v>
      </c>
      <c r="O74" s="267">
        <v>0.9</v>
      </c>
      <c r="P74" s="138">
        <f t="shared" si="44"/>
        <v>1.6623000000000001</v>
      </c>
      <c r="Q74" s="97">
        <f>IFERROR(((M74-N74*POWER(O74,AD37)-(P74))*X74),0)</f>
        <v>0</v>
      </c>
      <c r="R74" s="97">
        <f t="shared" ref="R74" si="47">Q74*1000</f>
        <v>0</v>
      </c>
      <c r="S74" s="139">
        <f>R74*N37*M37</f>
        <v>0</v>
      </c>
      <c r="T74" s="138"/>
      <c r="U74" s="220"/>
      <c r="V74" s="220"/>
      <c r="W74" s="149"/>
      <c r="X74" s="150">
        <f>IF(AC37&lt;$X$52,0,1)</f>
        <v>0</v>
      </c>
      <c r="Y74" s="243"/>
      <c r="Z74" s="150"/>
      <c r="AJ74" s="47"/>
      <c r="AK74" s="47"/>
    </row>
    <row r="75" spans="1:37" ht="15" x14ac:dyDescent="0.2">
      <c r="A75" s="47"/>
      <c r="B75" s="272" t="s">
        <v>107</v>
      </c>
      <c r="C75" s="272"/>
      <c r="D75" s="272"/>
      <c r="E75" s="272"/>
      <c r="F75" s="272"/>
      <c r="G75" s="272"/>
      <c r="H75" s="272"/>
      <c r="I75" s="272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2016-04-12T12:28:23Z</dcterms:modified>
</cp:coreProperties>
</file>