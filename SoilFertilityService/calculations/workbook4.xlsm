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adj" localSheetId="0" hidden="1">'Help and Instructions'!$O$32:$S$37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" localSheetId="0" hidden="1">'Help and Instructions'!$O$32:$S$37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" localSheetId="0" hidden="1">'Help and Instructions'!$O$32:$S$37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3" localSheetId="0" hidden="1">'Help and Instructions'!$AB$32:$AD$37</definedName>
    <definedName name="solver_lhs4" localSheetId="1" hidden="1">'Fertilizer Optimization'!$T$52</definedName>
    <definedName name="solver_lhs4" localSheetId="0" hidden="1">'Help and Instructions'!$T$52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opt" localSheetId="1" hidden="1">'Fertilizer Optimization'!$V$76</definedName>
    <definedName name="solver_opt" localSheetId="0" hidden="1">'Help and Instructions'!$V$76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" localSheetId="0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" localSheetId="0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" localSheetId="0" hidden="1">'Help and Instructions'!$O$18:$S$23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" localSheetId="0" hidden="1">'Help and Instructions'!$T$18:$X$23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3" localSheetId="0" hidden="1">'Help and Instructions'!$Y$18:$AA$23</definedName>
    <definedName name="solver_rhs4" localSheetId="1" hidden="1">'Fertilizer Optimization'!$U$52</definedName>
    <definedName name="solver_rhs4" localSheetId="0" hidden="1">'Help and Instructions'!$U$52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<sst xmlns="http://schemas.openxmlformats.org/spreadsheetml/2006/main" count="192" uniqueCount="133">
  <si>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</si>
  <si>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</si>
  <si>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</si>
  <si>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</si>
  <si>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</si>
  <si>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</si>
  <si>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</si>
  <si>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</si>
  <si>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</si>
  <si>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</si>
  <si>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</si>
  <si>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</si>
  <si>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</si>
  <si>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</si>
  <si>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</si>
  <si>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</si>
  <si>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</si>
  <si>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</si>
  <si>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</si>
  <si>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</si>
  <si>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</si>
  <si>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</si>
  <si>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</si>
  <si>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</si>
  <si>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</si>
  <si>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</si>
  <si>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</si>
  <si>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</si>
  <si>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</si>
  <si>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</si>
  <si>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</si>
  <si>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</si>
  <si>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</si>
  <si>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</si>
  <si>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</si>
  <si>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</si>
  <si>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</si>
  <si>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</si>
  <si>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</si>
  <si>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</si>
  <si>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</si>
  <si>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</si>
  <si>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</si>
  <si>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</si>
  <si>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</si>
  <si>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</si>
  <si>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</si>
  <si>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</si>
  <si>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</si>
  <si>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</si>
  <si>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</si>
  <si>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</si>
  <si>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</si>
  <si>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</si>
  <si>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</si>
  <si>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</si>
  <si>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</si>
  <si>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</si>
  <si>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</si>
  <si>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</si>
  <si>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</si>
  <si>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</si>
  <si>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</si>
  <si>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</si>
  <si>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</si>
  <si>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</si>
  <si>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</si>
  <si>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</si>
  <si>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</si>
  <si>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</si>
  <si>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</si>
  <si>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</si>
  <si>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</si>
  <si>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</si>
  <si>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</si>
  <si>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</si>
  <si>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</si>
  <si>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</si>
  <si>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</si>
  <si>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</si>
  <si>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</si>
  <si>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</si>
  <si>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</si>
  <si>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</si>
  <si>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</si>
  <si>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</si>
  <si>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</si>
  <si>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</si>
  <si>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</si>
  <si>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</si>
  <si>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</si>
  <si>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</si>
  <si>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</si>
  <si>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</si>
  <si>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</si>
  <si>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</si>
  <si>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</si>
  <si>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</si>
  <si>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</si>
  <si>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</si>
  <si>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</si>
  <si>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</si>
  <si>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</si>
  <si>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</si>
  <si>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</si>
  <si>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</si>
  <si>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</si>
  <si>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</si>
  <si>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</si>
  <si>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</si>
  <si>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</si>
  <si>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</si>
  <si>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</si>
  <si>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</si>
  <si>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</si>
  <si>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</si>
  <si>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</si>
  <si>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</si>
  <si>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</si>
  <si>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</si>
  <si>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</si>
  <si>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</si>
  <si>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</si>
  <si>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</si>
  <si>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</si>
  <si>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</si>
  <si>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</si>
  <si>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</si>
  <si>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</si>
  <si>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</si>
  <si>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</si>
  <si>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</si>
  <si>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{     "AmtAvailable": 300000,     "CalcCrops": [         {             "Area": 0.404686,             "Crop": {                 "Name": "Maize"             },             "Profit": 200,             "id": 0         }     ],     "CalcFertilizers": [         {             "Fertilizer": {                 "Name": "Urea"             },             "Price": 120000,             "id": 0         }     ],     "CalcCropFertRatios": [],     "FarmerName": "David",     "Id": "2c1902f2-0f75-4aed-9907-4ff05fd3afe0",     "Imei": "356422050612627"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</si>
</sst>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9" fontId="6" fillId="6" borderId="0" xfId="0" applyNumberFormat="1" applyFont="1" applyFill="1"/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6"/>
  <sheetViews>
    <sheetView showGridLines="0" topLeftCell="A43" workbookViewId="0">
      <selection activeCell="B41" sqref="B41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 t="s">
        <v>103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 t="s">
        <v>103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>
        <v>0</v>
      </c>
      <c r="D16" s="19">
        <v>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30" ht="15" customHeight="1" x14ac:dyDescent="0.3">
      <c r="A17" s="19"/>
      <c r="B17" s="19"/>
      <c r="C17" s="19">
        <v>0</v>
      </c>
      <c r="D17" s="19">
        <v>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30" ht="18.75" x14ac:dyDescent="0.3">
      <c r="A18" s="19"/>
      <c r="B18" s="19"/>
      <c r="C18" s="19">
        <v>0</v>
      </c>
      <c r="D18" s="19">
        <v>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30" ht="18.75" x14ac:dyDescent="0.3">
      <c r="A19" s="19"/>
      <c r="B19" s="19"/>
      <c r="C19" s="19">
        <v>0</v>
      </c>
      <c r="D19" s="19">
        <v>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30" ht="18.75" x14ac:dyDescent="0.3">
      <c r="A20" s="19"/>
      <c r="B20" s="19"/>
      <c r="C20" s="19">
        <v>0</v>
      </c>
      <c r="D20" s="19">
        <v>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30" ht="18.75" x14ac:dyDescent="0.3">
      <c r="A21" s="19"/>
      <c r="B21" s="19"/>
      <c r="C21" s="19">
        <v>0</v>
      </c>
      <c r="D21" s="19">
        <v>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30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30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30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30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30" ht="18.75" x14ac:dyDescent="0.3">
      <c r="A26" s="19"/>
      <c r="B26" s="19"/>
      <c r="C26" s="213">
        <v>0.46</v>
      </c>
      <c r="D26" s="213">
        <v>0</v>
      </c>
      <c r="E26" s="213">
        <v>0</v>
      </c>
      <c r="F26" s="19">
        <v>0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30" ht="18.75" x14ac:dyDescent="0.3">
      <c r="A27" s="19"/>
      <c r="B27" s="19"/>
      <c r="C27" s="213">
        <v>0</v>
      </c>
      <c r="D27" s="213">
        <v>0.46</v>
      </c>
      <c r="E27" s="213">
        <v>0</v>
      </c>
      <c r="F27" s="19">
        <v>0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30" ht="18.75" x14ac:dyDescent="0.3">
      <c r="A28" s="19"/>
      <c r="B28" s="19"/>
      <c r="C28" s="213">
        <v>0.18</v>
      </c>
      <c r="D28" s="213">
        <v>0.46</v>
      </c>
      <c r="E28" s="213">
        <v>0</v>
      </c>
      <c r="F28" s="19">
        <v>0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30" ht="18.75" x14ac:dyDescent="0.3">
      <c r="A29" s="19"/>
      <c r="B29" s="19"/>
      <c r="C29" s="213">
        <v>0</v>
      </c>
      <c r="D29" s="213">
        <v>0</v>
      </c>
      <c r="E29" s="213">
        <v>0.6</v>
      </c>
      <c r="F29" s="19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30" ht="18.75" x14ac:dyDescent="0.3">
      <c r="A30" s="19"/>
      <c r="B30" s="19" t="s">
        <v>103</v>
      </c>
      <c r="C30" s="19" t="s">
        <v>123</v>
      </c>
      <c r="D30" s="19" t="s">
        <v>123</v>
      </c>
      <c r="E30" s="19" t="s">
        <v>123</v>
      </c>
      <c r="F30" s="19">
        <v>0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30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30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/>
      <c r="U32" s="19"/>
      <c r="AB32">
        <v>0</v>
      </c>
      <c r="AC32">
        <v>0</v>
      </c>
      <c r="AD32">
        <v>0</v>
      </c>
    </row>
    <row r="33" spans="1:30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/>
      <c r="U33" s="19"/>
      <c r="AB33">
        <v>0</v>
      </c>
      <c r="AC33">
        <v>0</v>
      </c>
      <c r="AD33">
        <v>0</v>
      </c>
    </row>
    <row r="34" spans="1:30" ht="18.75" x14ac:dyDescent="0.3">
      <c r="A34" s="19"/>
      <c r="B34" s="19"/>
      <c r="C34" s="19">
        <v>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/>
      <c r="U34" s="19"/>
      <c r="AB34">
        <v>0</v>
      </c>
      <c r="AC34">
        <v>0</v>
      </c>
      <c r="AD34">
        <v>0</v>
      </c>
    </row>
    <row r="35" spans="1:30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/>
      <c r="U35" s="19"/>
      <c r="AB35">
        <v>0</v>
      </c>
      <c r="AC35">
        <v>0</v>
      </c>
      <c r="AD35">
        <v>0</v>
      </c>
    </row>
    <row r="36" spans="1:30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/>
      <c r="U36" s="19"/>
      <c r="AB36">
        <v>0</v>
      </c>
      <c r="AC36">
        <v>0</v>
      </c>
      <c r="AD36">
        <v>0</v>
      </c>
    </row>
    <row r="37" spans="1:30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/>
      <c r="U37" s="19"/>
      <c r="AB37">
        <v>0</v>
      </c>
      <c r="AC37">
        <v>0</v>
      </c>
      <c r="AD37">
        <v>0</v>
      </c>
    </row>
    <row r="38" spans="1:30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30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30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30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52" spans="20:21" x14ac:dyDescent="0.25">
      <c r="T52">
        <v>0</v>
      </c>
      <c r="U52">
        <v>0</v>
      </c>
    </row>
    <row r="76" spans="22:22" x14ac:dyDescent="0.25">
      <c r="V7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4" zoomScale="70" zoomScaleNormal="70" workbookViewId="0">
      <selection activeCell="B41" sqref="B41:G41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hidden="1" customWidth="1"/>
    <col min="13" max="13" width="12" style="56" hidden="1" customWidth="1"/>
    <col min="14" max="14" width="23" style="56" hidden="1" customWidth="1"/>
    <col min="15" max="16" width="18.85546875" style="56" hidden="1" customWidth="1"/>
    <col min="17" max="17" width="20.140625" style="56" hidden="1" customWidth="1"/>
    <col min="18" max="18" width="18.140625" style="56" hidden="1" customWidth="1"/>
    <col min="19" max="19" width="21.7109375" style="56" hidden="1" customWidth="1"/>
    <col min="20" max="20" width="24.42578125" style="56" hidden="1" customWidth="1"/>
    <col min="21" max="21" width="19.5703125" style="56" hidden="1" customWidth="1"/>
    <col min="22" max="22" width="17.42578125" style="56" hidden="1" customWidth="1"/>
    <col min="23" max="23" width="13.140625" style="56" hidden="1" customWidth="1"/>
    <col min="24" max="24" width="12.85546875" style="56" hidden="1" customWidth="1"/>
    <col min="25" max="25" width="14.85546875" style="56" hidden="1" customWidth="1"/>
    <col min="26" max="26" width="14.7109375" style="56" hidden="1" customWidth="1"/>
    <col min="27" max="27" width="14.42578125" style="56" hidden="1" customWidth="1"/>
    <col min="28" max="29" width="12.28515625" style="56" hidden="1" customWidth="1"/>
    <col min="30" max="30" width="11.85546875" style="56" hidden="1" customWidth="1"/>
    <col min="31" max="32" width="11.5703125" style="56" hidden="1" customWidth="1"/>
    <col min="33" max="33" width="11.85546875" style="56" hidden="1" customWidth="1"/>
    <col min="34" max="35" width="11.5703125" style="56" hidden="1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M1" s="56" t="s">
        <v>132</v>
      </c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2400</v>
      </c>
      <c r="AJ9" s="55"/>
      <c r="AK9" s="55"/>
    </row>
    <row r="10" spans="1:37" ht="18" x14ac:dyDescent="0.25">
      <c r="A10" s="55"/>
      <c r="B10" s="68" t="s">
        <v>94</v>
      </c>
      <c r="C10" s="217" t="s">
        <v>103</v>
      </c>
      <c r="D10" s="217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17" t="s">
        <v>103</v>
      </c>
      <c r="D11" s="217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18">
        <f ca="1">TODAY()</f>
        <v>41653</v>
      </c>
      <c r="D12" s="218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26" t="s">
        <v>8</v>
      </c>
      <c r="C14" s="227"/>
      <c r="D14" s="228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0.40468599999999999</v>
      </c>
      <c r="D16" s="42">
        <v>200</v>
      </c>
      <c r="E16" s="76"/>
      <c r="F16" s="55"/>
      <c r="G16" s="55"/>
      <c r="H16" s="55"/>
      <c r="I16" s="55"/>
      <c r="J16" s="55"/>
      <c r="K16" s="55"/>
      <c r="N16" s="214" t="s">
        <v>36</v>
      </c>
      <c r="O16" s="215"/>
      <c r="P16" s="215"/>
      <c r="Q16" s="215"/>
      <c r="R16" s="215"/>
      <c r="S16" s="215"/>
      <c r="T16" s="215"/>
      <c r="U16" s="215"/>
      <c r="V16" s="215"/>
      <c r="W16" s="215"/>
      <c r="X16" s="216"/>
      <c r="Y16" s="214" t="s">
        <v>109</v>
      </c>
      <c r="Z16" s="215"/>
      <c r="AA16" s="216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100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100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200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100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0.40468599999999999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9" t="s">
        <v>11</v>
      </c>
      <c r="C24" s="220"/>
      <c r="D24" s="220"/>
      <c r="E24" s="220"/>
      <c r="F24" s="221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120000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14" t="s">
        <v>38</v>
      </c>
      <c r="M30" s="215"/>
      <c r="N30" s="216"/>
      <c r="O30" s="223" t="s">
        <v>99</v>
      </c>
      <c r="P30" s="224"/>
      <c r="Q30" s="224"/>
      <c r="R30" s="224"/>
      <c r="S30" s="222"/>
      <c r="T30" s="214" t="s">
        <v>37</v>
      </c>
      <c r="U30" s="215"/>
      <c r="V30" s="215"/>
      <c r="W30" s="215"/>
      <c r="X30" s="215"/>
      <c r="Y30" s="215"/>
      <c r="Z30" s="215"/>
      <c r="AA30" s="215"/>
      <c r="AB30" s="214" t="s">
        <v>74</v>
      </c>
      <c r="AC30" s="215"/>
      <c r="AD30" s="216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0.40468599999999999</v>
      </c>
      <c r="N32" s="59">
        <f t="shared" ref="N32:N37" si="6">IF(D16&lt;=0,0,D16)</f>
        <v>200</v>
      </c>
      <c r="O32" s="125">
        <v>59.957611900012104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27.580501474005569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27.580501474005569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9" t="s">
        <v>14</v>
      </c>
      <c r="C33" s="221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300000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9"/>
      <c r="C35" s="229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0.40468599999999999</v>
      </c>
      <c r="N38" s="78"/>
      <c r="O38" s="144">
        <f>SUM(O32:O37)</f>
        <v>59.957611900012104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27.580501474005569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27.580501474005569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24.264006129368298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30" t="s">
        <v>81</v>
      </c>
      <c r="C41" s="231"/>
      <c r="D41" s="231"/>
      <c r="E41" s="231"/>
      <c r="F41" s="231"/>
      <c r="G41" s="232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37" t="s">
        <v>48</v>
      </c>
      <c r="D42" s="238"/>
      <c r="E42" s="238"/>
      <c r="F42" s="238"/>
      <c r="G42" s="239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59.957611900012104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14" t="s">
        <v>54</v>
      </c>
      <c r="O44" s="215"/>
      <c r="P44" s="215"/>
      <c r="Q44" s="215"/>
      <c r="R44" s="215"/>
      <c r="S44" s="215"/>
      <c r="T44" s="215"/>
      <c r="U44" s="222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143898.26856002904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58233.614710483911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24.264006129368298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14" t="s">
        <v>76</v>
      </c>
      <c r="X50" s="216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30" t="s">
        <v>127</v>
      </c>
      <c r="C52" s="233"/>
      <c r="D52" s="234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143898.26856002904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58233.614710483911</v>
      </c>
      <c r="U52" s="155">
        <f>C34</f>
        <v>300000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1654.0177859899488</v>
      </c>
      <c r="D54" s="13">
        <f>Z60</f>
        <v>186905.2886379608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14" t="s">
        <v>51</v>
      </c>
      <c r="T58" s="215"/>
      <c r="U58" s="215"/>
      <c r="V58" s="215"/>
      <c r="W58" s="214" t="s">
        <v>129</v>
      </c>
      <c r="X58" s="216"/>
      <c r="Y58" s="214" t="s">
        <v>130</v>
      </c>
      <c r="Z58" s="216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1.6540177859899488</v>
      </c>
      <c r="R60" s="95">
        <f t="shared" ref="R60:R67" si="32">Q60*1000</f>
        <v>1654.0177859899488</v>
      </c>
      <c r="S60" s="167">
        <f>R60*N32*M32</f>
        <v>133871.5683482257</v>
      </c>
      <c r="T60" s="168">
        <f>S60+S61</f>
        <v>133871.5683482257</v>
      </c>
      <c r="U60" s="168">
        <f>T46</f>
        <v>58233.614710483911</v>
      </c>
      <c r="V60" s="168">
        <f>T60-U60</f>
        <v>75637.953637741797</v>
      </c>
      <c r="W60" s="169"/>
      <c r="X60" s="170"/>
      <c r="Y60" s="171">
        <f>R60+R61</f>
        <v>1654.0177859899488</v>
      </c>
      <c r="Z60" s="172">
        <f>IF(OR(M32=0,M32=1),$V$60,IF(M32&lt;1,$V$60/M32,IF(M32&gt;1,$V$60/M32,0)))</f>
        <v>186905.2886379608</v>
      </c>
      <c r="AJ60" s="55"/>
      <c r="AK60" s="55"/>
    </row>
    <row r="61" spans="1:37" ht="18" x14ac:dyDescent="0.25">
      <c r="A61" s="55"/>
      <c r="B61" s="230" t="s">
        <v>125</v>
      </c>
      <c r="C61" s="231"/>
      <c r="D61" s="232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1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35">
        <f>V76</f>
        <v>75637.953637741797</v>
      </c>
      <c r="D62" s="236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25" t="s">
        <v>131</v>
      </c>
      <c r="C69" s="225"/>
      <c r="D69" s="225"/>
      <c r="E69" s="225"/>
      <c r="F69" s="225"/>
      <c r="G69" s="225"/>
      <c r="H69" s="225"/>
      <c r="I69" s="225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7.5" customHeight="1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25" t="s">
        <v>84</v>
      </c>
      <c r="C71" s="225"/>
      <c r="D71" s="225"/>
      <c r="E71" s="225"/>
      <c r="F71" s="225"/>
      <c r="G71" s="225"/>
      <c r="H71" s="225"/>
      <c r="I71" s="225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25" t="s">
        <v>89</v>
      </c>
      <c r="C73" s="225"/>
      <c r="D73" s="225"/>
      <c r="E73" s="225"/>
      <c r="F73" s="225"/>
      <c r="G73" s="225"/>
      <c r="H73" s="225"/>
      <c r="I73" s="225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133871.5683482257</v>
      </c>
      <c r="U76" s="152">
        <f>SUM(U60:U71)</f>
        <v>58233.614710483911</v>
      </c>
      <c r="V76" s="153">
        <f>SUM(V60:V71)</f>
        <v>75637.953637741797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sheetProtection password="C75C" sheet="1" objects="1" scenarios="1"/>
  <mergeCells count="26"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  <mergeCell ref="AB30:AD30"/>
    <mergeCell ref="O30:S30"/>
    <mergeCell ref="T30:AA30"/>
    <mergeCell ref="N16:X16"/>
    <mergeCell ref="L30:N30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Job</cp:lastModifiedBy>
  <cp:lastPrinted>2014-01-07T08:06:05Z</cp:lastPrinted>
  <dcterms:created xsi:type="dcterms:W3CDTF">2011-08-08T15:04:31Z</dcterms:created>
  <dcterms:modified xsi:type="dcterms:W3CDTF">2014-01-14T13:46:56Z</dcterms:modified>
</cp:coreProperties>
</file>