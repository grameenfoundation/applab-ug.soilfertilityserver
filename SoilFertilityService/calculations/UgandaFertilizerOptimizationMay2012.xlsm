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workbookProtection workbookPassword="C75C" lockStructure="1"/>
  <bookViews>
    <workbookView xWindow="0" yWindow="120" windowWidth="15300" windowHeight="8730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<sst xmlns="http://schemas.openxmlformats.org/spreadsheetml/2006/main" count="185" uniqueCount="132">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</sst>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abSelected="1" workbookViewId="0">
      <selection activeCell="L19" sqref="L19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ht="15" customHeight="1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ht="18.75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ht="18.75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ht="18.75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ht="18.75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21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ht="18.75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21" ht="18.75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21" ht="18.75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21" ht="18.75" x14ac:dyDescent="0.3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21" ht="18.75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21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</row>
    <row r="33" spans="1:21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</row>
    <row r="34" spans="1:21" ht="18.75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</row>
    <row r="36" spans="1:21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1:21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</row>
    <row r="38" spans="1:21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21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21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zoomScale="70" zoomScaleNormal="70" workbookViewId="0">
      <selection activeCell="C10" sqref="C10:D10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hidden="1" customWidth="1"/>
    <col min="13" max="13" width="12" style="56" hidden="1" customWidth="1"/>
    <col min="14" max="14" width="23" style="56" hidden="1" customWidth="1"/>
    <col min="15" max="16" width="18.85546875" style="56" hidden="1" customWidth="1"/>
    <col min="17" max="17" width="20.140625" style="56" hidden="1" customWidth="1"/>
    <col min="18" max="18" width="18.140625" style="56" hidden="1" customWidth="1"/>
    <col min="19" max="19" width="21.7109375" style="56" hidden="1" customWidth="1"/>
    <col min="20" max="20" width="24.42578125" style="56" hidden="1" customWidth="1"/>
    <col min="21" max="21" width="19.5703125" style="56" hidden="1" customWidth="1"/>
    <col min="22" max="22" width="17.42578125" style="56" hidden="1" customWidth="1"/>
    <col min="23" max="23" width="13.140625" style="56" hidden="1" customWidth="1"/>
    <col min="24" max="24" width="12.85546875" style="56" hidden="1" customWidth="1"/>
    <col min="25" max="25" width="14.85546875" style="56" hidden="1" customWidth="1"/>
    <col min="26" max="26" width="14.7109375" style="56" hidden="1" customWidth="1"/>
    <col min="27" max="27" width="14.42578125" style="56" hidden="1" customWidth="1"/>
    <col min="28" max="29" width="12.28515625" style="56" hidden="1" customWidth="1"/>
    <col min="30" max="30" width="11.85546875" style="56" hidden="1" customWidth="1"/>
    <col min="31" max="32" width="11.5703125" style="56" hidden="1" customWidth="1"/>
    <col min="33" max="33" width="11.85546875" style="56" hidden="1" customWidth="1"/>
    <col min="34" max="35" width="11.5703125" style="56" hidden="1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0</v>
      </c>
      <c r="AJ9" s="55"/>
      <c r="AK9" s="55"/>
    </row>
    <row r="10" spans="1:37" ht="18" x14ac:dyDescent="0.25">
      <c r="A10" s="55"/>
      <c r="B10" s="68" t="s">
        <v>94</v>
      </c>
      <c r="C10" s="216" t="s">
        <v>103</v>
      </c>
      <c r="D10" s="216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16" t="s">
        <v>103</v>
      </c>
      <c r="D11" s="216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17">
        <f ca="1">TODAY()</f>
        <v>41626</v>
      </c>
      <c r="D12" s="217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25" t="s">
        <v>8</v>
      </c>
      <c r="C14" s="226"/>
      <c r="D14" s="22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</v>
      </c>
      <c r="D16" s="42">
        <v>0</v>
      </c>
      <c r="E16" s="76"/>
      <c r="F16" s="55"/>
      <c r="G16" s="55"/>
      <c r="H16" s="55"/>
      <c r="I16" s="55"/>
      <c r="J16" s="55"/>
      <c r="K16" s="55"/>
      <c r="N16" s="213" t="s">
        <v>36</v>
      </c>
      <c r="O16" s="214"/>
      <c r="P16" s="214"/>
      <c r="Q16" s="214"/>
      <c r="R16" s="214"/>
      <c r="S16" s="214"/>
      <c r="T16" s="214"/>
      <c r="U16" s="214"/>
      <c r="V16" s="214"/>
      <c r="W16" s="214"/>
      <c r="X16" s="215"/>
      <c r="Y16" s="213" t="s">
        <v>109</v>
      </c>
      <c r="Z16" s="214"/>
      <c r="AA16" s="215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19"/>
      <c r="D24" s="219"/>
      <c r="E24" s="219"/>
      <c r="F24" s="220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3" t="s">
        <v>38</v>
      </c>
      <c r="M30" s="214"/>
      <c r="N30" s="215"/>
      <c r="O30" s="222" t="s">
        <v>99</v>
      </c>
      <c r="P30" s="223"/>
      <c r="Q30" s="223"/>
      <c r="R30" s="223"/>
      <c r="S30" s="221"/>
      <c r="T30" s="213" t="s">
        <v>37</v>
      </c>
      <c r="U30" s="214"/>
      <c r="V30" s="214"/>
      <c r="W30" s="214"/>
      <c r="X30" s="214"/>
      <c r="Y30" s="214"/>
      <c r="Z30" s="214"/>
      <c r="AA30" s="214"/>
      <c r="AB30" s="213" t="s">
        <v>74</v>
      </c>
      <c r="AC30" s="214"/>
      <c r="AD30" s="215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</v>
      </c>
      <c r="N32" s="59">
        <f t="shared" ref="N32:N37" si="6">IF(D16&lt;=0,0,D16)</f>
        <v>0</v>
      </c>
      <c r="O32" s="125">
        <v>0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0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0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20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8"/>
      <c r="C35" s="228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</v>
      </c>
      <c r="N38" s="78"/>
      <c r="O38" s="144">
        <f>SUM(O32:O37)</f>
        <v>0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0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0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0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9" t="s">
        <v>81</v>
      </c>
      <c r="C41" s="230"/>
      <c r="D41" s="230"/>
      <c r="E41" s="230"/>
      <c r="F41" s="230"/>
      <c r="G41" s="231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6" t="s">
        <v>48</v>
      </c>
      <c r="D42" s="237"/>
      <c r="E42" s="237"/>
      <c r="F42" s="237"/>
      <c r="G42" s="238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0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3" t="s">
        <v>54</v>
      </c>
      <c r="O44" s="214"/>
      <c r="P44" s="214"/>
      <c r="Q44" s="214"/>
      <c r="R44" s="214"/>
      <c r="S44" s="214"/>
      <c r="T44" s="214"/>
      <c r="U44" s="221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0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0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0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13" t="s">
        <v>76</v>
      </c>
      <c r="X50" s="215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9" t="s">
        <v>127</v>
      </c>
      <c r="C52" s="232"/>
      <c r="D52" s="233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0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0</v>
      </c>
      <c r="U52" s="155">
        <f>C34</f>
        <v>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0</v>
      </c>
      <c r="D54" s="13">
        <f>Z60</f>
        <v>0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13" t="s">
        <v>51</v>
      </c>
      <c r="T58" s="214"/>
      <c r="U58" s="214"/>
      <c r="V58" s="214"/>
      <c r="W58" s="213" t="s">
        <v>129</v>
      </c>
      <c r="X58" s="215"/>
      <c r="Y58" s="213" t="s">
        <v>130</v>
      </c>
      <c r="Z58" s="215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0</v>
      </c>
      <c r="R60" s="95">
        <f t="shared" ref="R60:R67" si="32">Q60*1000</f>
        <v>0</v>
      </c>
      <c r="S60" s="167">
        <f>R60*N32*M32</f>
        <v>0</v>
      </c>
      <c r="T60" s="168">
        <f>S60+S61</f>
        <v>0</v>
      </c>
      <c r="U60" s="168">
        <f>T46</f>
        <v>0</v>
      </c>
      <c r="V60" s="168">
        <f>T60-U60</f>
        <v>0</v>
      </c>
      <c r="W60" s="169"/>
      <c r="X60" s="170"/>
      <c r="Y60" s="171">
        <f>R60+R61</f>
        <v>0</v>
      </c>
      <c r="Z60" s="172">
        <f>IF(OR(M32=0,M32=1),$V$60,IF(M32&lt;1,$V$60/M32,IF(M32&gt;1,$V$60/M32,0)))</f>
        <v>0</v>
      </c>
      <c r="AJ60" s="55"/>
      <c r="AK60" s="55"/>
    </row>
    <row r="61" spans="1:37" ht="18" x14ac:dyDescent="0.25">
      <c r="A61" s="55"/>
      <c r="B61" s="229" t="s">
        <v>125</v>
      </c>
      <c r="C61" s="230"/>
      <c r="D61" s="231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0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34">
        <f>V76</f>
        <v>0</v>
      </c>
      <c r="D62" s="235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24" t="s">
        <v>131</v>
      </c>
      <c r="C69" s="224"/>
      <c r="D69" s="224"/>
      <c r="E69" s="224"/>
      <c r="F69" s="224"/>
      <c r="G69" s="224"/>
      <c r="H69" s="224"/>
      <c r="I69" s="22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7.5" customHeight="1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24" t="s">
        <v>84</v>
      </c>
      <c r="C71" s="224"/>
      <c r="D71" s="224"/>
      <c r="E71" s="224"/>
      <c r="F71" s="224"/>
      <c r="G71" s="224"/>
      <c r="H71" s="224"/>
      <c r="I71" s="22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24" t="s">
        <v>89</v>
      </c>
      <c r="C73" s="224"/>
      <c r="D73" s="224"/>
      <c r="E73" s="224"/>
      <c r="F73" s="224"/>
      <c r="G73" s="224"/>
      <c r="H73" s="224"/>
      <c r="I73" s="22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0</v>
      </c>
      <c r="U76" s="152">
        <f>SUM(U60:U71)</f>
        <v>0</v>
      </c>
      <c r="V76" s="153">
        <f>SUM(V60:V71)</f>
        <v>0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mergeCells count="26"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  <mergeCell ref="AB30:AD30"/>
    <mergeCell ref="O30:S30"/>
    <mergeCell ref="T30:AA30"/>
    <mergeCell ref="N16:X16"/>
    <mergeCell ref="L30:N30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2012-04-18T14:29:31Z</cp:lastPrinted>
  <dcterms:created xsi:type="dcterms:W3CDTF">2011-08-08T15:04:31Z</dcterms:created>
  <dcterms:modified xsi:type="dcterms:W3CDTF">2013-12-18T09:28:23Z</dcterms:modified>
</cp:coreProperties>
</file>